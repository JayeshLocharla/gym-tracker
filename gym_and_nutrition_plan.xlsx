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plit" sheetId="2" state="visible" r:id="rId4"/>
    <sheet name="Workouts" sheetId="3" state="visible" r:id="rId5"/>
    <sheet name="WeightRamp" sheetId="4" state="visible" r:id="rId6"/>
    <sheet name="Nutrition" sheetId="5" state="visible" r:id="rId7"/>
    <sheet name="Nutrients" sheetId="6" state="visible" r:id="rId8"/>
    <sheet name="Tracker" sheetId="7" state="visible" r:id="rId9"/>
    <sheet name="Mileston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<sst xmlns="http://schemas.openxmlformats.org/spreadsheetml/2006/main" count="921" uniqueCount="678">
  <si>
    <t xml:space="preserve">  YOUR TRAINING &amp; NUTRITION SYSTEM  —  built 27 Aug 2026</t>
  </si>
  <si>
    <t xml:space="preserve">  HOW THIS WORKBOOK FITS TOGETHER</t>
  </si>
  <si>
    <t xml:space="preserve">Split</t>
  </si>
  <si>
    <t xml:space="preserve">The weekly schedule. Which day you train what, how the flexible Friday works, and why this split beats the one you were running.</t>
  </si>
  <si>
    <t xml:space="preserve">Workouts</t>
  </si>
  <si>
    <t xml:space="preserve">The actual sessions. Column B is the exercise you do first choice. Column C (green) and Column D (cream) are your substitutes if the machine is taken or your gym doesn't have it — same convention as your old sheet.</t>
  </si>
  <si>
    <t xml:space="preserve">WeightRamp</t>
  </si>
  <si>
    <t xml:space="preserve">Exactly what to load on the bar in each of the next 12 weeks, worked back from the numbers in the sheet you sent me. This is the sheet that answers 'when can I lift my old weights again'.</t>
  </si>
  <si>
    <t xml:space="preserve">Nutrition</t>
  </si>
  <si>
    <t xml:space="preserve">Calories, protein, carbs, fat, fibre and water. Every number is a formula off your bodyweight — change the weight in B5 and the whole sheet updates. Includes the weekend junk-food budget.</t>
  </si>
  <si>
    <t xml:space="preserve">Nutrients</t>
  </si>
  <si>
    <t xml:space="preserve">Omega-3, vitamin D, magnesium, zinc and the rest, with the specific foods that get you there. Shrimp, chia, the lot.</t>
  </si>
  <si>
    <t xml:space="preserve">Tracker</t>
  </si>
  <si>
    <t xml:space="preserve">Log 8 numbers once a week. The last two columns tell you if you're on pace and what specifically to fix.</t>
  </si>
  <si>
    <t xml:space="preserve">Milestones</t>
  </si>
  <si>
    <t xml:space="preserve">The staged goals between now and month 6, and a blunt list of what fails if you skip each input.</t>
  </si>
  <si>
    <t xml:space="preserve">  COLOUR LEGEND  (matches your original sheet)</t>
  </si>
  <si>
    <t xml:space="preserve">White cell</t>
  </si>
  <si>
    <t xml:space="preserve">First-choice exercise. Do this one if the equipment is free.</t>
  </si>
  <si>
    <t xml:space="preserve">Green cell</t>
  </si>
  <si>
    <t xml:space="preserve">Alternative 1 — machine or cable version. Same muscle, same job.</t>
  </si>
  <si>
    <t xml:space="preserve">Cream cell</t>
  </si>
  <si>
    <t xml:space="preserve">Alternative 2 — dumbbell or bodyweight version. Works in any gym, however basic.</t>
  </si>
  <si>
    <t xml:space="preserve">Yellow cell</t>
  </si>
  <si>
    <t xml:space="preserve">An input. You type here. Everything else calculates itself — don't overwrite formulas.</t>
  </si>
  <si>
    <t xml:space="preserve">  FOUR THINGS TO READ BEFORE YOU START</t>
  </si>
  <si>
    <t xml:space="preserve">•</t>
  </si>
  <si>
    <t xml:space="preserve">Your old split was fine. Your old volume was the problem.</t>
  </si>
  <si>
    <t xml:space="preserve">Back+tricep / chest+bicep / shoulder+crunches hits each muscle roughly once a week. A 2016 Schoenfeld meta-analysis and everything since points the same way: at matched volume, twice-weekly beats once-weekly for both size and strength. The plan here hits everything 2x/week in four sessions. Nothing exotic — just better spacing.</t>
  </si>
  <si>
    <t xml:space="preserve">You cannot choose where fat comes off.</t>
  </si>
  <si>
    <t xml:space="preserve">Spot reduction isn't a thing. Crunches build the muscle underneath; they do not thin the layer on top. Belly fat goes when total body fat goes, and the order it leaves in is genetic. The abs you want are made almost entirely in the Nutrition sheet. Training just makes sure there's something to see when the fat clears.</t>
  </si>
  <si>
    <t xml:space="preserve">Your old weights are a week 7-9 target, not a week 3 target.</t>
  </si>
  <si>
    <t xml:space="preserve">Three weeks off costs a trained lifter very little — the research on short layoffs shows trivial strength loss at three weeks. But you weren't running that college program up until three weeks ago; you were running a lighter one for a long stretch before that. So the gap isn't three weeks wide. Expect to be back at your old bench and squat around week 7-9, and you'll get there faster than a beginner would because myonuclei from that earlier training stay put. The WeightRamp sheet paces it.</t>
  </si>
  <si>
    <t xml:space="preserve">You are not going to get bulky. That is not the risk here.</t>
  </si>
  <si>
    <t xml:space="preserve">You're eating in a deficit at 79kg heading to 76kg. Building noticeable size in a deficit at your training age essentially doesn't happen. Lifting heavy while cutting is what stops you losing muscle — without it, 25-40% of what you lose comes off as lean mass. The heavy work protects the physique you're after.</t>
  </si>
  <si>
    <t xml:space="preserve">  ON THE STRESS EATING</t>
  </si>
  <si>
    <t xml:space="preserve">You said you'd rather not cut sweets and junk entirely, and that you eat them at the weekend. This plan is built around that rather than against it. The Nutrition sheet runs a weekly calorie budget instead of a daily one: you eat slightly under target Monday to Friday, which banks roughly 400-600 spare calories for each weekend day. That is a real dessert or a real takeaway, planned in, not a failure. Diets that ban the thing you reliably eat anyway are the ones that end in week three.
Worth naming the other half of it though: you described the eating as stress-driven and tied to overthinking. Protein and a gym routine genuinely help — high-protein meals blunt appetite, and training is one of the better stress regulators going. But they treat the symptom. If the overthinking is heavy enough that it's running your eating, that part is worth its own attention, separate from anything in this workbook.</t>
  </si>
  <si>
    <t xml:space="preserve">  THE SPLIT  —  Upper / Lower, four sessions minimum, five when Friday allows</t>
  </si>
  <si>
    <t xml:space="preserve">  WHY THIS ONE</t>
  </si>
  <si>
    <t xml:space="preserve">You asked whether Push/Pull/Legs is ideal. For your schedule, no — and the reason is arithmetic rather than anything about the exercises. PPL divides into three. Your week divides into four or five. Run PPL across four days and the rotation drifts: some weeks a muscle gets trained twice, some weeks once, and you can never quite plan Friday. Upper/Lower divides into four cleanly, so every muscle is trained exactly twice every week, every week, and the fifth day becomes a genuine bonus rather than a thing the program depends on.
The current evidence is fairly settled that split structure itself matters less than weekly volume and frequency: a 2024 meta-analysis of 14 studies found no hypertrophy difference between split types once volume was equalised. So the deciding factor is which structure you'll actually complete — and on that, one 12-month dataset comparing matched lifters found a 3-4% strength difference between PPL and Upper/Lower but a 31% difference in adherence. Pick the one that survives contact with a 9-to-5 and a Friday football game.</t>
  </si>
  <si>
    <t xml:space="preserve">  THE WEEK</t>
  </si>
  <si>
    <t xml:space="preserve">Day</t>
  </si>
  <si>
    <t xml:space="preserve">Session</t>
  </si>
  <si>
    <t xml:space="preserve">Focus</t>
  </si>
  <si>
    <t xml:space="preserve">Time</t>
  </si>
  <si>
    <t xml:space="preserve">Priority</t>
  </si>
  <si>
    <t xml:space="preserve">Notes</t>
  </si>
  <si>
    <t xml:space="preserve">Monday</t>
  </si>
  <si>
    <t xml:space="preserve">Day A</t>
  </si>
  <si>
    <t xml:space="preserve">Upper — push emphasis</t>
  </si>
  <si>
    <t xml:space="preserve">80-85 min</t>
  </si>
  <si>
    <t xml:space="preserve">Non-negotiable</t>
  </si>
  <si>
    <t xml:space="preserve">Chest, shoulders, triceps lead. Back and biceps get a small share. Hardest pressing of the week — do it when you're freshest.</t>
  </si>
  <si>
    <t xml:space="preserve">Tuesday</t>
  </si>
  <si>
    <t xml:space="preserve">Day B</t>
  </si>
  <si>
    <t xml:space="preserve">Lower — quad emphasis</t>
  </si>
  <si>
    <t xml:space="preserve">Squat-led. Finish with 12 min of intervals — legs are already warm and you're not lifting tomorrow.</t>
  </si>
  <si>
    <t xml:space="preserve">Wednesday</t>
  </si>
  <si>
    <t xml:space="preserve">Rest</t>
  </si>
  <si>
    <t xml:space="preserve">Walk / mobility</t>
  </si>
  <si>
    <t xml:space="preserve">20-30 min</t>
  </si>
  <si>
    <t xml:space="preserve">Easy</t>
  </si>
  <si>
    <t xml:space="preserve">Not a gym day. Walk 8,000+ steps, ten minutes of hips and thoracic spine. Sitting at a desk five days a week is the thing this is countering.</t>
  </si>
  <si>
    <t xml:space="preserve">Thursday</t>
  </si>
  <si>
    <t xml:space="preserve">Day C</t>
  </si>
  <si>
    <t xml:space="preserve">Upper — pull emphasis</t>
  </si>
  <si>
    <t xml:space="preserve">Back and biceps lead. This is the day that fixes desk posture, so don't be the person who skips it for another chest day.</t>
  </si>
  <si>
    <t xml:space="preserve">Friday</t>
  </si>
  <si>
    <t xml:space="preserve">Day D  OR  Sport</t>
  </si>
  <si>
    <t xml:space="preserve">Lower — posterior chain</t>
  </si>
  <si>
    <t xml:space="preserve">Flexible</t>
  </si>
  <si>
    <t xml:space="preserve">If you're playing pickleball or football, play. The sport covers your conditioning for the day and Day D moves to Saturday. If you're not playing, lift.</t>
  </si>
  <si>
    <t xml:space="preserve">Saturday</t>
  </si>
  <si>
    <t xml:space="preserve">Day D or Day E</t>
  </si>
  <si>
    <t xml:space="preserve">Whatever Friday didn't cover</t>
  </si>
  <si>
    <t xml:space="preserve">60-85 min</t>
  </si>
  <si>
    <t xml:space="preserve">Friday lifted → do Day E here (the optional fifth). Friday played sport → do Day D here. Friday did nothing → do Day D here and Day E becomes optional.</t>
  </si>
  <si>
    <t xml:space="preserve">Sunday</t>
  </si>
  <si>
    <t xml:space="preserve">Full rest</t>
  </si>
  <si>
    <t xml:space="preserve">—</t>
  </si>
  <si>
    <t xml:space="preserve">Protected</t>
  </si>
  <si>
    <t xml:space="preserve">Meal prep, weigh in, fill the Tracker. Genuinely rest — recovery is when the adaptation happens, not the training.</t>
  </si>
  <si>
    <t xml:space="preserve">  THE THREE SCENARIOS, SPELLED OUT</t>
  </si>
  <si>
    <t xml:space="preserve">Scenario</t>
  </si>
  <si>
    <t xml:space="preserve">Mon</t>
  </si>
  <si>
    <t xml:space="preserve">Tue</t>
  </si>
  <si>
    <t xml:space="preserve">Thu</t>
  </si>
  <si>
    <t xml:space="preserve">Fri</t>
  </si>
  <si>
    <t xml:space="preserve">Sat</t>
  </si>
  <si>
    <t xml:space="preserve">4 days — sport on Friday</t>
  </si>
  <si>
    <t xml:space="preserve">A</t>
  </si>
  <si>
    <t xml:space="preserve">B</t>
  </si>
  <si>
    <t xml:space="preserve">C</t>
  </si>
  <si>
    <t xml:space="preserve">Pickleball / football</t>
  </si>
  <si>
    <t xml:space="preserve">D</t>
  </si>
  <si>
    <t xml:space="preserve">5 days — no sport</t>
  </si>
  <si>
    <t xml:space="preserve">E (optional)</t>
  </si>
  <si>
    <t xml:space="preserve">4 days — no sport, want the weekend free</t>
  </si>
  <si>
    <t xml:space="preserve">Days A-D are the program. Day E is a bonus that mops up side delts, arms and core — skip it in a busy week and you lose nothing structural. Never skip two of A-D in the same week: that's the point where a muscle drops to once-weekly frequency and the whole rationale for the split evaporates.</t>
  </si>
  <si>
    <t xml:space="preserve">  WEEKLY VOLUME CHECK  —  hard sets per muscle, 4-day version</t>
  </si>
  <si>
    <t xml:space="preserve">Muscle</t>
  </si>
  <si>
    <t xml:space="preserve">Sets/wk</t>
  </si>
  <si>
    <t xml:space="preserve">Research range</t>
  </si>
  <si>
    <t xml:space="preserve">Verdict</t>
  </si>
  <si>
    <t xml:space="preserve">Chest</t>
  </si>
  <si>
    <t xml:space="preserve">10-20</t>
  </si>
  <si>
    <t xml:space="preserve">In range</t>
  </si>
  <si>
    <t xml:space="preserve">Back / lats</t>
  </si>
  <si>
    <t xml:space="preserve">Side delts</t>
  </si>
  <si>
    <t xml:space="preserve">8-16</t>
  </si>
  <si>
    <t xml:space="preserve">In range — Day E adds 3 more</t>
  </si>
  <si>
    <t xml:space="preserve">Rear delts</t>
  </si>
  <si>
    <t xml:space="preserve">6-12</t>
  </si>
  <si>
    <t xml:space="preserve">Adequate, posture-driven</t>
  </si>
  <si>
    <t xml:space="preserve">Biceps</t>
  </si>
  <si>
    <t xml:space="preserve">6-14</t>
  </si>
  <si>
    <t xml:space="preserve">Triceps</t>
  </si>
  <si>
    <t xml:space="preserve">Quads</t>
  </si>
  <si>
    <t xml:space="preserve">Hamstrings / glutes</t>
  </si>
  <si>
    <t xml:space="preserve">Calves</t>
  </si>
  <si>
    <t xml:space="preserve">6-16</t>
  </si>
  <si>
    <t xml:space="preserve">Core / abs</t>
  </si>
  <si>
    <t xml:space="preserve">Trained 4x/wk, direct and heavy</t>
  </si>
  <si>
    <t xml:space="preserve">Source for the 10-20 range: Schoenfeld et al. 2017 dose-response work and the Pelland et al. 2025 volume meta-analysis. Everything above sits inside it deliberately — in a calorie deficit, recovery is the constraint, and piling on sets you can't recover from costs you rather than buys you anything.</t>
  </si>
  <si>
    <t xml:space="preserve">  THE SESSIONS  —  first choice, then two substitutes</t>
  </si>
  <si>
    <t xml:space="preserve">Column B is what you do if the equipment is free. Column C (green) swaps to a machine or cable. Column D (cream) is the dumbbell or bodyweight version that works in any gym, however minimal the kit. All three train the same thing — there is no penalty for using column D every session. 'Wk1 kg' pulls from the WeightRamp sheet; where it says 'RPE', pick a weight where the last rep is genuinely hard but you'd have 2 clean reps left.</t>
  </si>
  <si>
    <t xml:space="preserve">  DAY A — UPPER, PUSH EMPHASIS      ~80 min      Chest · Shoulders · Triceps · Core</t>
  </si>
  <si>
    <t xml:space="preserve">#</t>
  </si>
  <si>
    <t xml:space="preserve">Exercise (first choice)</t>
  </si>
  <si>
    <t xml:space="preserve">Alternative 1 — machine / cable</t>
  </si>
  <si>
    <t xml:space="preserve">Alternative 2 — dumbbell / bodyweight</t>
  </si>
  <si>
    <t xml:space="preserve">Sets x Reps</t>
  </si>
  <si>
    <t xml:space="preserve">Intensity</t>
  </si>
  <si>
    <t xml:space="preserve">Target</t>
  </si>
  <si>
    <t xml:space="preserve">Wk1 kg</t>
  </si>
  <si>
    <t xml:space="preserve">Coaching note</t>
  </si>
  <si>
    <t xml:space="preserve">Barbell Bench Press</t>
  </si>
  <si>
    <t xml:space="preserve">Machine Chest Press</t>
  </si>
  <si>
    <t xml:space="preserve">Flat Dumbbell Press</t>
  </si>
  <si>
    <t xml:space="preserve">4 x 5-7</t>
  </si>
  <si>
    <t xml:space="preserve">RPE 8</t>
  </si>
  <si>
    <t xml:space="preserve">2-3 min</t>
  </si>
  <si>
    <t xml:space="preserve">Chest, triceps</t>
  </si>
  <si>
    <t xml:space="preserve">Your main pressing lift. Bar to mid-chest, elbows ~45 degrees, feet planted. Add weight only when all 4 sets hit the top of the range.</t>
  </si>
  <si>
    <t xml:space="preserve">Standing Overhead Press</t>
  </si>
  <si>
    <t xml:space="preserve">Machine Shoulder Press</t>
  </si>
  <si>
    <t xml:space="preserve">Seated Dumbbell Press</t>
  </si>
  <si>
    <t xml:space="preserve">3 x 6-8</t>
  </si>
  <si>
    <t xml:space="preserve">Front delts, triceps</t>
  </si>
  <si>
    <t xml:space="preserve">Squeeze glutes and brace so it doesn't turn into a standing incline press. Bar path just past the nose.</t>
  </si>
  <si>
    <t xml:space="preserve">Incline Dumbbell Press</t>
  </si>
  <si>
    <t xml:space="preserve">Incline Machine Press</t>
  </si>
  <si>
    <t xml:space="preserve">Deficit Push-up (hands on books)</t>
  </si>
  <si>
    <t xml:space="preserve">3 x 8-10</t>
  </si>
  <si>
    <t xml:space="preserve">RPE 9</t>
  </si>
  <si>
    <t xml:space="preserve">90 sec</t>
  </si>
  <si>
    <t xml:space="preserve">Upper chest</t>
  </si>
  <si>
    <t xml:space="preserve">30-45 degree bench. This is the angle that fills out the top of the chest — the bit that reads as 'in shape' in a t-shirt.</t>
  </si>
  <si>
    <t xml:space="preserve">Dumbbell Lateral Raise</t>
  </si>
  <si>
    <t xml:space="preserve">Cable Lateral Raise</t>
  </si>
  <si>
    <t xml:space="preserve">Egyptian Lateral Raise</t>
  </si>
  <si>
    <t xml:space="preserve">3 x 12-15</t>
  </si>
  <si>
    <t xml:space="preserve">RPE 9-10</t>
  </si>
  <si>
    <t xml:space="preserve">60 sec</t>
  </si>
  <si>
    <t xml:space="preserve">You already know this one. Light, slow, no swinging. Last set: myo-reps — go to failure, rest 15 sec, 3-4 more reps, repeat twice. Side delts are the single best return on effort for looking leaner than you are.</t>
  </si>
  <si>
    <t xml:space="preserve">Overhead Cable Tricep Ext.</t>
  </si>
  <si>
    <t xml:space="preserve">EZ-Bar Skull Crusher</t>
  </si>
  <si>
    <t xml:space="preserve">Overhead Dumbbell Extension</t>
  </si>
  <si>
    <t xml:space="preserve">3 x 10-12</t>
  </si>
  <si>
    <t xml:space="preserve">75 sec</t>
  </si>
  <si>
    <t xml:space="preserve">Triceps (long head)</t>
  </si>
  <si>
    <t xml:space="preserve">Overhead beats pushdowns for the long head — that's the mass of the arm. Keep elbows in and still.</t>
  </si>
  <si>
    <t xml:space="preserve">Dips</t>
  </si>
  <si>
    <t xml:space="preserve">Assisted Dip Machine</t>
  </si>
  <si>
    <t xml:space="preserve">Bench Dips</t>
  </si>
  <si>
    <t xml:space="preserve">2 x AMRAP</t>
  </si>
  <si>
    <t xml:space="preserve">Stop 1-2 reps short of total failure. Slight forward lean for chest, upright for triceps.</t>
  </si>
  <si>
    <t xml:space="preserve">Hanging Leg Raise</t>
  </si>
  <si>
    <t xml:space="preserve">Captain's Chair Knee Raise</t>
  </si>
  <si>
    <t xml:space="preserve">Lying Leg Raise</t>
  </si>
  <si>
    <t xml:space="preserve">3 x 10-15</t>
  </si>
  <si>
    <t xml:space="preserve">Lower abs, hip flexors</t>
  </si>
  <si>
    <t xml:space="preserve">Curl the pelvis up at the top rather than just swinging the legs — that's the difference between hip flexor work and abs.</t>
  </si>
  <si>
    <t xml:space="preserve">F</t>
  </si>
  <si>
    <t xml:space="preserve">10 min Zone 2 — bike, incline walk or rower</t>
  </si>
  <si>
    <t xml:space="preserve">Brisk outdoor walk</t>
  </si>
  <si>
    <t xml:space="preserve">10 min easy skipping</t>
  </si>
  <si>
    <t xml:space="preserve">10 min</t>
  </si>
  <si>
    <t xml:space="preserve">Conversational</t>
  </si>
  <si>
    <t xml:space="preserve">Aerobic base</t>
  </si>
  <si>
    <t xml:space="preserve">Easy enough that you could hold a conversation. This is recovery work, not a second workout.</t>
  </si>
  <si>
    <t xml:space="preserve">  DAY B — LOWER, QUAD EMPHASIS      ~80 min      Quads · Hamstrings · Calves · Conditioning</t>
  </si>
  <si>
    <t xml:space="preserve">Back Squat</t>
  </si>
  <si>
    <t xml:space="preserve">Hack Squat</t>
  </si>
  <si>
    <t xml:space="preserve">Goblet Squat</t>
  </si>
  <si>
    <t xml:space="preserve">3 min</t>
  </si>
  <si>
    <t xml:space="preserve">Quads, glutes</t>
  </si>
  <si>
    <t xml:space="preserve">Rebuild the pattern before you rebuild the load. Depth first, weight second — the WeightRamp column starts you deliberately light for this reason.</t>
  </si>
  <si>
    <t xml:space="preserve">Romanian Deadlift</t>
  </si>
  <si>
    <t xml:space="preserve">45-degree Back Extension</t>
  </si>
  <si>
    <t xml:space="preserve">Dumbbell RDL</t>
  </si>
  <si>
    <t xml:space="preserve">2 min</t>
  </si>
  <si>
    <t xml:space="preserve">Hamstrings, glutes</t>
  </si>
  <si>
    <t xml:space="preserve">Hinge, don't squat. Bar stays against the legs, chest proud, stretch felt in the hamstring not the lower back.</t>
  </si>
  <si>
    <t xml:space="preserve">Bulgarian Split Squat</t>
  </si>
  <si>
    <t xml:space="preserve">Smith Machine Split Squat</t>
  </si>
  <si>
    <t xml:space="preserve">Walking Lunge</t>
  </si>
  <si>
    <t xml:space="preserve">3 x 8-10 each</t>
  </si>
  <si>
    <t xml:space="preserve">RPE 8-9</t>
  </si>
  <si>
    <t xml:space="preserve">Quads, glutes, balance</t>
  </si>
  <si>
    <t xml:space="preserve">In your old sheet as the supported version. Brutal, and the best single fix for the hip stiffness a desk job builds.</t>
  </si>
  <si>
    <t xml:space="preserve">Leg Extension</t>
  </si>
  <si>
    <t xml:space="preserve">Sissy Squat</t>
  </si>
  <si>
    <t xml:space="preserve">Reverse Nordic</t>
  </si>
  <si>
    <t xml:space="preserve">Quads (rectus femoris)</t>
  </si>
  <si>
    <t xml:space="preserve">Pause a beat at the top. Only quad exercise that loads the rectus femoris in a lengthened-but-shortened position.</t>
  </si>
  <si>
    <t xml:space="preserve">Seated Leg Curl</t>
  </si>
  <si>
    <t xml:space="preserve">Lying Leg Curl</t>
  </si>
  <si>
    <t xml:space="preserve">Nordic Ham Curl</t>
  </si>
  <si>
    <t xml:space="preserve">Hamstrings</t>
  </si>
  <si>
    <t xml:space="preserve">Seated beats lying here — hamstrings grow better trained at longer muscle lengths.</t>
  </si>
  <si>
    <t xml:space="preserve">Standing Calf Raise</t>
  </si>
  <si>
    <t xml:space="preserve">Leg Press Calf Raise</t>
  </si>
  <si>
    <t xml:space="preserve">Single-Leg Calf Raise</t>
  </si>
  <si>
    <t xml:space="preserve">4 x 10-15</t>
  </si>
  <si>
    <t xml:space="preserve">Full stretch at the bottom, two-second pause. Calves need the stretch far more than they need the weight.</t>
  </si>
  <si>
    <t xml:space="preserve">Long-Lever Plank</t>
  </si>
  <si>
    <t xml:space="preserve">Ab Wheel Rollout</t>
  </si>
  <si>
    <t xml:space="preserve">Standard Plank</t>
  </si>
  <si>
    <t xml:space="preserve">3 x 30-45 sec</t>
  </si>
  <si>
    <t xml:space="preserve">45 sec</t>
  </si>
  <si>
    <t xml:space="preserve">Deep core, anti-extension</t>
  </si>
  <si>
    <t xml:space="preserve">Your old sheet had this. Arms further forward than a normal plank. Brace like you're about to take a punch.</t>
  </si>
  <si>
    <t xml:space="preserve">Intervals: 6 x (30 sec hard / 90 sec easy)</t>
  </si>
  <si>
    <t xml:space="preserve">Rower or assault bike</t>
  </si>
  <si>
    <t xml:space="preserve">Hill sprints outdoors</t>
  </si>
  <si>
    <t xml:space="preserve">12 min</t>
  </si>
  <si>
    <t xml:space="preserve">Hard / easy</t>
  </si>
  <si>
    <t xml:space="preserve">VO2 max, stamina</t>
  </si>
  <si>
    <t xml:space="preserve">This is your stamina lever. Two sessions a week of 4x4-style intervals reliably moves VO2max in recreational trainees — extra frequency adds little. Legs are already cooked, so this costs you nothing on the lifting.</t>
  </si>
  <si>
    <t xml:space="preserve">  DAY C — UPPER, PULL EMPHASIS      ~80 min      Back · Rear delts · Biceps · Core</t>
  </si>
  <si>
    <t xml:space="preserve">Pull-Up (weighted when easy)</t>
  </si>
  <si>
    <t xml:space="preserve">Lat Pulldown</t>
  </si>
  <si>
    <t xml:space="preserve">Assisted / Band Pull-Up</t>
  </si>
  <si>
    <t xml:space="preserve">4 x 5-8</t>
  </si>
  <si>
    <t xml:space="preserve">Lats, biceps</t>
  </si>
  <si>
    <t xml:space="preserve">Your old sheet had weighted pull-ups. Get back to bodyweight sets of 8 clean first, then start adding a belt.</t>
  </si>
  <si>
    <t xml:space="preserve">Barbell Row</t>
  </si>
  <si>
    <t xml:space="preserve">Chest-Supported Row</t>
  </si>
  <si>
    <t xml:space="preserve">Single-Arm Dumbbell Row</t>
  </si>
  <si>
    <t xml:space="preserve">Mid-back, lats</t>
  </si>
  <si>
    <t xml:space="preserve">If your lower back is the limiting factor, take the chest-supported version — no shame, and it isolates the target better anyway.</t>
  </si>
  <si>
    <t xml:space="preserve">Seated Cable Row</t>
  </si>
  <si>
    <t xml:space="preserve">Machine Row</t>
  </si>
  <si>
    <t xml:space="preserve">Inverted Row (bar or rings)</t>
  </si>
  <si>
    <t xml:space="preserve">Mid-back, rhomboids</t>
  </si>
  <si>
    <t xml:space="preserve">Pull to the navel, elbows tight. Squeeze for a full second. This is the anti-desk-posture exercise.</t>
  </si>
  <si>
    <t xml:space="preserve">Rope Face Pull</t>
  </si>
  <si>
    <t xml:space="preserve">Reverse Pec Deck</t>
  </si>
  <si>
    <t xml:space="preserve">Band Pull-Apart</t>
  </si>
  <si>
    <t xml:space="preserve">3 x 15-20</t>
  </si>
  <si>
    <t xml:space="preserve">Rear delts, rotator cuff</t>
  </si>
  <si>
    <t xml:space="preserve">Do these religiously. They're the reason your shoulders keep working while you press twice a week, and they undo eight hours of hunching.</t>
  </si>
  <si>
    <t xml:space="preserve">Incline Dumbbell Curl</t>
  </si>
  <si>
    <t xml:space="preserve">Cable Curl</t>
  </si>
  <si>
    <t xml:space="preserve">Standing Dumbbell Curl</t>
  </si>
  <si>
    <t xml:space="preserve">Biceps (long head)</t>
  </si>
  <si>
    <t xml:space="preserve">From your old sheet. Incline puts the long head on stretch, which is where most of the growth stimulus lives.</t>
  </si>
  <si>
    <t xml:space="preserve">Hammer Curl</t>
  </si>
  <si>
    <t xml:space="preserve">Rope Hammer Curl</t>
  </si>
  <si>
    <t xml:space="preserve">Reverse Curl</t>
  </si>
  <si>
    <t xml:space="preserve">2 x 12-15</t>
  </si>
  <si>
    <t xml:space="preserve">Brachialis, forearm</t>
  </si>
  <si>
    <t xml:space="preserve">Brachialis sits under the bicep and pushes it up. This is what makes an arm look thick from the side.</t>
  </si>
  <si>
    <t xml:space="preserve">Cable Crunch</t>
  </si>
  <si>
    <t xml:space="preserve">Decline Crunch</t>
  </si>
  <si>
    <t xml:space="preserve">Weighted Crunch</t>
  </si>
  <si>
    <t xml:space="preserve">Upper abs</t>
  </si>
  <si>
    <t xml:space="preserve">Your old sheet had decline crunches. Load them — abs are muscle and respond to progressive overload like anything else.</t>
  </si>
  <si>
    <t xml:space="preserve">10 min Zone 2 — bike or incline walk</t>
  </si>
  <si>
    <t xml:space="preserve">10 min easy row</t>
  </si>
  <si>
    <t xml:space="preserve">Same as Day A. Keep it genuinely easy.</t>
  </si>
  <si>
    <t xml:space="preserve">  DAY D — LOWER, POSTERIOR CHAIN      ~80 min      Hamstrings · Glutes · Back · Conditioning</t>
  </si>
  <si>
    <t xml:space="preserve">Conventional Deadlift</t>
  </si>
  <si>
    <t xml:space="preserve">Trap-Bar Deadlift</t>
  </si>
  <si>
    <t xml:space="preserve">Heavy Dumbbell RDL</t>
  </si>
  <si>
    <t xml:space="preserve">3 x 4-6</t>
  </si>
  <si>
    <t xml:space="preserve">Full posterior chain</t>
  </si>
  <si>
    <t xml:space="preserve">Your old sheet had 80kg here. Sets of 4-6, never grinding. If form breaks on rep 5, the set ended at rep 4.</t>
  </si>
  <si>
    <t xml:space="preserve">Barbell Hip Thrust</t>
  </si>
  <si>
    <t xml:space="preserve">Glute Bridge Machine</t>
  </si>
  <si>
    <t xml:space="preserve">Single-Leg Hip Thrust</t>
  </si>
  <si>
    <t xml:space="preserve">3 x 8-12</t>
  </si>
  <si>
    <t xml:space="preserve">Glutes</t>
  </si>
  <si>
    <t xml:space="preserve">Weak glutes from sitting all day are the most common cause of a cranky lower back. Chin tucked, ribs down, pause at the top.</t>
  </si>
  <si>
    <t xml:space="preserve">Front Squat</t>
  </si>
  <si>
    <t xml:space="preserve">Quads, upper back</t>
  </si>
  <si>
    <t xml:space="preserve">Your old sheet listed hack squat with front/goblet as the alternates. Front squat also forces the thoracic spine upright, which is a desk-job bonus.</t>
  </si>
  <si>
    <t xml:space="preserve">Slider / Towel Leg Curl</t>
  </si>
  <si>
    <t xml:space="preserve">Different hip angle from Day B's seated version — that's deliberate, it hits the hamstring differently.</t>
  </si>
  <si>
    <t xml:space="preserve">Prisoner Back Extension</t>
  </si>
  <si>
    <t xml:space="preserve">Bird Dog / Superman</t>
  </si>
  <si>
    <t xml:space="preserve">Spinal erectors, glutes</t>
  </si>
  <si>
    <t xml:space="preserve">Straight from your old sheet. Hands behind the head, round up one vertebra at a time. Builds the lower back that sitting slowly dismantles.</t>
  </si>
  <si>
    <t xml:space="preserve">Seated Calf Raise</t>
  </si>
  <si>
    <t xml:space="preserve">4 x 12-15</t>
  </si>
  <si>
    <t xml:space="preserve">Soleus</t>
  </si>
  <si>
    <t xml:space="preserve">Seated hits the soleus, standing hits the gastroc. You want both across the week.</t>
  </si>
  <si>
    <t xml:space="preserve">Hanging Knee Raise</t>
  </si>
  <si>
    <t xml:space="preserve">Full core, anti-extension</t>
  </si>
  <si>
    <t xml:space="preserve">Best abs exercise there is. Go only as far as you can without the lower back arching, then extend the range over the weeks.</t>
  </si>
  <si>
    <t xml:space="preserve">15 min Zone 2 incline walk</t>
  </si>
  <si>
    <t xml:space="preserve">Stair machine</t>
  </si>
  <si>
    <t xml:space="preserve">Outdoor walk with a slope</t>
  </si>
  <si>
    <t xml:space="preserve">15 min</t>
  </si>
  <si>
    <t xml:space="preserve">Fat oxidation</t>
  </si>
  <si>
    <t xml:space="preserve">Longer and easier than the other days. Slot a podcast in — this is the least demanding thing in the week.</t>
  </si>
  <si>
    <t xml:space="preserve">  DAY E — OPTIONAL FIFTH DAY: WEAK POINTS      ~55 min      Delts · Arms · Core · Conditioning</t>
  </si>
  <si>
    <t xml:space="preserve">Incline Push-up</t>
  </si>
  <si>
    <t xml:space="preserve">Third weekly exposure for the upper chest. Lighter than Day A — this is volume, not a max effort.</t>
  </si>
  <si>
    <t xml:space="preserve">Omni-Grip Lat Pulldown</t>
  </si>
  <si>
    <t xml:space="preserve">Lat Pulldown, one grip</t>
  </si>
  <si>
    <t xml:space="preserve">Band Pulldown</t>
  </si>
  <si>
    <t xml:space="preserve">Straight from your old sheet: set 1 wide, set 2 close, set 3 supinated. Three grips, three slightly different fibre lines.</t>
  </si>
  <si>
    <t xml:space="preserve">RPE 10</t>
  </si>
  <si>
    <t xml:space="preserve">Cables keep tension at the bottom where dumbbells lose it. Take the last set to genuine failure.</t>
  </si>
  <si>
    <t xml:space="preserve">Bent-Over Rear Delt Fly</t>
  </si>
  <si>
    <t xml:space="preserve">Second rear-delt hit of the week. Shoulder health and the illusion of width both live here.</t>
  </si>
  <si>
    <t xml:space="preserve">Superset: Cable Curl + Rope Pushdown</t>
  </si>
  <si>
    <t xml:space="preserve">EZ Curl + Skull Crusher</t>
  </si>
  <si>
    <t xml:space="preserve">DB Curl + Bench Dip</t>
  </si>
  <si>
    <t xml:space="preserve">3 x 12 each</t>
  </si>
  <si>
    <t xml:space="preserve">Biceps, triceps</t>
  </si>
  <si>
    <t xml:space="preserve">Back to back with no rest between the pair. Pure arm volume, and it takes seven minutes.</t>
  </si>
  <si>
    <t xml:space="preserve">Core circuit x 3 rounds</t>
  </si>
  <si>
    <t xml:space="preserve">3 rounds</t>
  </si>
  <si>
    <t xml:space="preserve">Full core</t>
  </si>
  <si>
    <t xml:space="preserve">One round = 12 hanging knee raises + 15 cable crunches + 30 sec side plank each side. Rest only after the full round.</t>
  </si>
  <si>
    <t xml:space="preserve">20 min intervals or easy Zone 2</t>
  </si>
  <si>
    <t xml:space="preserve">Bike / rower</t>
  </si>
  <si>
    <t xml:space="preserve">Outdoor run</t>
  </si>
  <si>
    <t xml:space="preserve">20 min</t>
  </si>
  <si>
    <t xml:space="preserve">Your call</t>
  </si>
  <si>
    <t xml:space="preserve">Stamina</t>
  </si>
  <si>
    <t xml:space="preserve">If Friday was pickleball or football, skip this entirely — the sport already did the job.</t>
  </si>
  <si>
    <t xml:space="preserve">  WEIGHT RAMP  —  getting back to your college numbers, and past them</t>
  </si>
  <si>
    <t xml:space="preserve">Column B is your best from the sheet you sent me, in total kilos including the bar. Columns C to N are what to load each week, rounded to the nearest 2.5kg. Change a number in column B and the whole row recalculates.
You said you thought three consistent weeks would get you back to these loads. Three weeks off costs a trained lifter almost nothing — but these numbers are three years old, and you've been running a lighter program since. So the honest answer is week 7-9, not week 3. The ramp below is built to land you there without a shoulder or a lower back giving out in week two. Weeks 10-12 go past your old bests.</t>
  </si>
  <si>
    <t xml:space="preserve">Lift</t>
  </si>
  <si>
    <t xml:space="preserve">Your old best (kg)</t>
  </si>
  <si>
    <t xml:space="preserve">Wk1</t>
  </si>
  <si>
    <t xml:space="preserve">Wk2</t>
  </si>
  <si>
    <t xml:space="preserve">Wk3</t>
  </si>
  <si>
    <t xml:space="preserve">Wk4</t>
  </si>
  <si>
    <t xml:space="preserve">Wk5</t>
  </si>
  <si>
    <t xml:space="preserve">Wk6</t>
  </si>
  <si>
    <t xml:space="preserve">Wk7</t>
  </si>
  <si>
    <t xml:space="preserve">Wk8</t>
  </si>
  <si>
    <t xml:space="preserve">Wk9</t>
  </si>
  <si>
    <t xml:space="preserve">Wk10</t>
  </si>
  <si>
    <t xml:space="preserve">Wk11</t>
  </si>
  <si>
    <t xml:space="preserve">Wk12</t>
  </si>
  <si>
    <t xml:space="preserve">Where this number came from</t>
  </si>
  <si>
    <t xml:space="preserve">% of old best</t>
  </si>
  <si>
    <t xml:space="preserve">Wk9 is a deload — planned, not optional. It is how you get weeks 10-12.</t>
  </si>
  <si>
    <t xml:space="preserve">Your sheet: 15+15 plates + 20kg bar</t>
  </si>
  <si>
    <t xml:space="preserve">Your sheet: 30+30 + 20kg bar</t>
  </si>
  <si>
    <t xml:space="preserve">ESTIMATE — ~85% of your deadlift, standard ratio</t>
  </si>
  <si>
    <t xml:space="preserve">Your sheet: 22.5+22.5 + 20kg bar (your progressed set)</t>
  </si>
  <si>
    <t xml:space="preserve">Your sheet: 12.5+12.5 + 20kg bar</t>
  </si>
  <si>
    <t xml:space="preserve">ESTIMATE — ~80% of back squat</t>
  </si>
  <si>
    <t xml:space="preserve">ESTIMATE — ~77% of bench, typical for this build</t>
  </si>
  <si>
    <t xml:space="preserve">ESTIMATE — ~88% of deadlift for the 8-12 rep range</t>
  </si>
  <si>
    <t xml:space="preserve">BW</t>
  </si>
  <si>
    <t xml:space="preserve">Bodyweight. Add load only once 8 clean reps are easy</t>
  </si>
  <si>
    <t xml:space="preserve">Your sheet: 45+45+45 across the omni-grip sets</t>
  </si>
  <si>
    <t xml:space="preserve">ESTIMATE — matched to your lat pulldown</t>
  </si>
  <si>
    <t xml:space="preserve">Your sheet: 43+50</t>
  </si>
  <si>
    <t xml:space="preserve">Your sheet: 45kg</t>
  </si>
  <si>
    <t xml:space="preserve">ESTIMATE — matched to seated leg curl</t>
  </si>
  <si>
    <t xml:space="preserve">Your sheet: 15+15 + 20kg bar</t>
  </si>
  <si>
    <t xml:space="preserve">ESTIMATE — ~80% of standing</t>
  </si>
  <si>
    <t xml:space="preserve">Your sheet: 43kg</t>
  </si>
  <si>
    <t xml:space="preserve">ESTIMATE, per dumbbell — derived from your 65kg bench</t>
  </si>
  <si>
    <t xml:space="preserve">Your sheet, per dumbbell: 12.5+12.5</t>
  </si>
  <si>
    <t xml:space="preserve">Your sheet: 31.5kg</t>
  </si>
  <si>
    <t xml:space="preserve">ESTIMATE — start light, this one progresses fast</t>
  </si>
  <si>
    <t xml:space="preserve">ESTIMATE, per dumbbell</t>
  </si>
  <si>
    <t xml:space="preserve">ESTIMATE, per dumbbell — from your 25kg shrug</t>
  </si>
  <si>
    <t xml:space="preserve">  HOW TO PROGRESS ONCE THE RAMP RUNS OUT</t>
  </si>
  <si>
    <t xml:space="preserve">Double progression</t>
  </si>
  <si>
    <t xml:space="preserve">Hit the top of the rep range on every set, then add 2.5kg (upper body) or 5kg (lower body) and drop back to the bottom of the range. Repeat. That's the whole method.</t>
  </si>
  <si>
    <t xml:space="preserve">Leave reps in reserve</t>
  </si>
  <si>
    <t xml:space="preserve">RPE 8 means two clean reps left in the tank. Training to failure on every set in a calorie deficit buys you fatigue, not muscle. Save failure for the isolation work — laterals, curls, leg extensions.</t>
  </si>
  <si>
    <t xml:space="preserve">Deload when the sheet says so</t>
  </si>
  <si>
    <t xml:space="preserve">Week 9 drops to 85%. Do not skip it because you feel fine — you feel fine because the fatigue hasn't surfaced yet. Weeks 10-12 are the payoff for taking it.</t>
  </si>
  <si>
    <t xml:space="preserve">If a week goes badly</t>
  </si>
  <si>
    <t xml:space="preserve">Two bad sessions in a row on the same lift means you repeat the week rather than pushing. In a deficit, on 6 hours of sleep, under work stress, the ramp will occasionally need to wait. That's the system working, not failing.</t>
  </si>
  <si>
    <t xml:space="preserve">Rows marked ESTIMATE in the last column were not in the sheet you sent me — they're derived from your other lifts using standard strength ratios. Treat them as a starting point: if week 1 feels far too easy or far too hard, correct the yellow cell in column B and the whole row re-paces itself.</t>
  </si>
  <si>
    <t xml:space="preserve">  NUTRITION  —  every number below is a formula off your bodyweight</t>
  </si>
  <si>
    <t xml:space="preserve">  YOUR INPUTS  —  edit the yellow cells only, everything else recalculates</t>
  </si>
  <si>
    <t xml:space="preserve">Height (cm)</t>
  </si>
  <si>
    <t xml:space="preserve">5'9" as you gave it</t>
  </si>
  <si>
    <t xml:space="preserve">Current weight (kg)</t>
  </si>
  <si>
    <t xml:space="preserve">Update this every Sunday — the whole sheet re-paces off it</t>
  </si>
  <si>
    <t xml:space="preserve">Age (years)</t>
  </si>
  <si>
    <t xml:space="preserve">ESTIMATE — change it, it shifts your BMR by ~5 kcal per year</t>
  </si>
  <si>
    <t xml:space="preserve">Target weight (kg)</t>
  </si>
  <si>
    <t xml:space="preserve">Your stated target. At 175cm that's a BMI of 24.8</t>
  </si>
  <si>
    <t xml:space="preserve">Activity multiplier</t>
  </si>
  <si>
    <t xml:space="preserve">Desk job + 4-5 gym sessions. Drop to 1.4 in a light week, 1.55 if you also hit 12k steps</t>
  </si>
  <si>
    <t xml:space="preserve">Daily calorie deficit</t>
  </si>
  <si>
    <t xml:space="preserve">~0.5% of bodyweight lost per week — the rate the research links to the best muscle retention</t>
  </si>
  <si>
    <t xml:space="preserve">Protein (g per kg)</t>
  </si>
  <si>
    <t xml:space="preserve">Deficit-adjusted. Meta-analyses land on 1.6-2.2 g/kg; ~1.9-2.0 is the sweet spot when dieting</t>
  </si>
  <si>
    <t xml:space="preserve">Fat (g per kg)</t>
  </si>
  <si>
    <t xml:space="preserve">Floor for hormone function. Going lower buys carbs you don't need badly enough</t>
  </si>
  <si>
    <t xml:space="preserve">Mon-Fri calorie target</t>
  </si>
  <si>
    <t xml:space="preserve">Deliberately under your daily target — this is what funds the weekend</t>
  </si>
  <si>
    <t xml:space="preserve">  YOUR DAILY TARGETS</t>
  </si>
  <si>
    <t xml:space="preserve">BMR (Mifflin-St Jeor)</t>
  </si>
  <si>
    <t xml:space="preserve">kcal</t>
  </si>
  <si>
    <t xml:space="preserve">What you'd burn lying in bed all day</t>
  </si>
  <si>
    <t xml:space="preserve">TDEE — maintenance</t>
  </si>
  <si>
    <t xml:space="preserve">What you burn on a normal training day. Eat this and weight holds</t>
  </si>
  <si>
    <t xml:space="preserve">DAILY CALORIE TARGET</t>
  </si>
  <si>
    <t xml:space="preserve">Your average across the week. Not a hard daily cap — see the weekend section below</t>
  </si>
  <si>
    <t xml:space="preserve">Protein</t>
  </si>
  <si>
    <t xml:space="preserve">g</t>
  </si>
  <si>
    <t xml:space="preserve">The single most important number on this sheet. Hit it before you worry about anything else</t>
  </si>
  <si>
    <t xml:space="preserve">Fat</t>
  </si>
  <si>
    <t xml:space="preserve">Prioritise olive oil, nuts, eggs, oily fish. Not fried food</t>
  </si>
  <si>
    <t xml:space="preserve">Carbohydrate</t>
  </si>
  <si>
    <t xml:space="preserve">Fuel. Most of it around training — this is what lets you keep the weight on the bar while cutting</t>
  </si>
  <si>
    <t xml:space="preserve">Fibre</t>
  </si>
  <si>
    <t xml:space="preserve">14g per 1000 kcal, the standard recommendation. Fibre is also the cheapest way to feel full on fewer calories</t>
  </si>
  <si>
    <t xml:space="preserve">Water</t>
  </si>
  <si>
    <t xml:space="preserve">L</t>
  </si>
  <si>
    <t xml:space="preserve">More on training days. Add 500ml per gym session</t>
  </si>
  <si>
    <t xml:space="preserve">  MACRO SPLIT  —  sanity check</t>
  </si>
  <si>
    <t xml:space="preserve">Protein — % of calories</t>
  </si>
  <si>
    <t xml:space="preserve">Sits high because you're cutting. That's intentional</t>
  </si>
  <si>
    <t xml:space="preserve">Fat — % of calories</t>
  </si>
  <si>
    <t xml:space="preserve">Low-normal. Fine, and easy to hit</t>
  </si>
  <si>
    <t xml:space="preserve">Carbs — % of calories</t>
  </si>
  <si>
    <t xml:space="preserve">The flexible one. Shift carbs to fat if you prefer, keeping calories equal</t>
  </si>
  <si>
    <t xml:space="preserve">  THE WEEKEND BANK  —  how the junk and sweets fit in without breaking anything</t>
  </si>
  <si>
    <t xml:space="preserve">You said you can't cut junk and sweets completely, and that it happens at the weekend. Good — so don't try. Fat loss responds to the weekly calorie total, not the daily one. Eat at the Mon-Fri number in cell B12 and the shortfall banks up. By Saturday there's a real allowance sitting there. Not 'a small square of dark chocolate'. An actual dessert, or a takeaway, eaten without any of the guilt spiral that makes the next week worse.</t>
  </si>
  <si>
    <t xml:space="preserve">Weekly calorie budget</t>
  </si>
  <si>
    <t xml:space="preserve">Your daily target x 7. This is the number that actually matters</t>
  </si>
  <si>
    <t xml:space="preserve">Mon-Fri intake (5 days)</t>
  </si>
  <si>
    <t xml:space="preserve">At the weekday target in B12</t>
  </si>
  <si>
    <t xml:space="preserve">Left for Sat + Sun</t>
  </si>
  <si>
    <t xml:space="preserve">Banked, and yours to spend</t>
  </si>
  <si>
    <t xml:space="preserve">Per weekend day</t>
  </si>
  <si>
    <t xml:space="preserve">Split evenly, or blow it all on one day — the week doesn't care</t>
  </si>
  <si>
    <t xml:space="preserve">Spare vs an average day</t>
  </si>
  <si>
    <t xml:space="preserve">This is your junk-food budget. Real food still needs to cover the protein target</t>
  </si>
  <si>
    <t xml:space="preserve">Two rules that keep this honest. First: protein does not get a day off. Hit cell B18 on Saturday and Sunday too — that is what stops the weekend costing you muscle rather than just calories. Second: if the weekend regularly overshoots the number in B36, don't punish Monday with a crash day. Lower B12 by 100 and let the bank grow bigger instead.</t>
  </si>
  <si>
    <t xml:space="preserve">  TIMELINE  —  79kg to 76kg</t>
  </si>
  <si>
    <t xml:space="preserve">Weekly fat loss rate</t>
  </si>
  <si>
    <t xml:space="preserve">kg/wk</t>
  </si>
  <si>
    <t xml:space="preserve">7,700 kcal per kg of fat. Inside the 0.5-1% of bodyweight per week that preserves muscle best</t>
  </si>
  <si>
    <t xml:space="preserve">Kilos to lose</t>
  </si>
  <si>
    <t xml:space="preserve">kg</t>
  </si>
  <si>
    <t xml:space="preserve">Weeks at perfect adherence</t>
  </si>
  <si>
    <t xml:space="preserve">weeks</t>
  </si>
  <si>
    <t xml:space="preserve">Theoretical. Nobody is perfect</t>
  </si>
  <si>
    <t xml:space="preserve">Weeks at 80% adherence</t>
  </si>
  <si>
    <t xml:space="preserve">REALISTIC. Plan around this number, not the one above</t>
  </si>
  <si>
    <t xml:space="preserve">One thing worth flagging: 76kg is a scale number, and the scale is a poor judge of what you're actually asking for. You want a flatter stomach, visible abs and no extra bulk. If you drop 3kg of fat while holding your muscle, you'll be leaner at 76kg than you'd guess. But if training goes well and you regain a kilo of the muscle you had in college, the scale might read 77 while your waist is 4cm smaller and the abs are more visible. That would be a better outcome, and the scale would call it a failure. Track the waist measurement in the Tracker sheet alongside the weight — where those two disagree, the waist is telling the truth.</t>
  </si>
  <si>
    <t xml:space="preserve">  A DAY THAT HITS THE NUMBERS  —  example, not a prescription</t>
  </si>
  <si>
    <t xml:space="preserve">Meal</t>
  </si>
  <si>
    <t xml:space="preserve">What it looks like</t>
  </si>
  <si>
    <t xml:space="preserve">Why it's there</t>
  </si>
  <si>
    <t xml:space="preserve">Breakfast (~7am)</t>
  </si>
  <si>
    <t xml:space="preserve">4 eggs + 2 slices wholegrain toast + a handful of berries. Or Greek yoghurt, oats, chia seeds, banana.</t>
  </si>
  <si>
    <t xml:space="preserve">Protein first thing measurably reduces snacking later in the day. Chia gets you ALA omega-3 and 10g of fibre.</t>
  </si>
  <si>
    <t xml:space="preserve">Lunch (~1pm)</t>
  </si>
  <si>
    <t xml:space="preserve">Chicken or fish, a fist of rice, and as many vegetables as fit on the plate.</t>
  </si>
  <si>
    <t xml:space="preserve">The meal most likely to be a sad desk sandwich. Prep it Sunday and the whole week gets easier.</t>
  </si>
  <si>
    <t xml:space="preserve">Pre-workout (~5pm)</t>
  </si>
  <si>
    <t xml:space="preserve">Whey shake + a banana, or cottage cheese and fruit.</t>
  </si>
  <si>
    <t xml:space="preserve">Carbs so the last set of squats doesn't fall apart. Protein so the session starts fed.</t>
  </si>
  <si>
    <t xml:space="preserve">Dinner (~8pm)</t>
  </si>
  <si>
    <t xml:space="preserve">Grilled fish or lean meat, sweet potato or roti, a large salad with olive oil.</t>
  </si>
  <si>
    <t xml:space="preserve">Twice a week make this salmon, mackerel or shrimp. That covers your EPA and DHA without a single capsule.</t>
  </si>
  <si>
    <t xml:space="preserve">Optional evening</t>
  </si>
  <si>
    <t xml:space="preserve">Casein or Greek yoghurt, or a boiled egg and some nuts.</t>
  </si>
  <si>
    <t xml:space="preserve">Only if you're hungry. Useful specifically on the evenings when the overthinking starts and the cupboard calls.</t>
  </si>
  <si>
    <t xml:space="preserve">TOTAL</t>
  </si>
  <si>
    <t xml:space="preserve">  MICRONUTRIENTS  —  the things a calorie tracker won't tell you you're missing</t>
  </si>
  <si>
    <t xml:space="preserve">Calories and macros decide your body composition. These decide whether you feel good doing it — energy, sleep, mood, recovery, joint health. On a desk job in a calorie deficit under work stress, the ones below are the ones that realistically go short.</t>
  </si>
  <si>
    <t xml:space="preserve">  PRIORITY NUTRIENTS</t>
  </si>
  <si>
    <t xml:space="preserve">Nutrient</t>
  </si>
  <si>
    <t xml:space="preserve">Daily target</t>
  </si>
  <si>
    <t xml:space="preserve">Best food sources</t>
  </si>
  <si>
    <t xml:space="preserve">Why it matters for you specifically</t>
  </si>
  <si>
    <t xml:space="preserve">Omega-3 (EPA + DHA)</t>
  </si>
  <si>
    <t xml:space="preserve">1,000-2,000 mg</t>
  </si>
  <si>
    <t xml:space="preserve">Salmon (~2,000mg per 100g), mackerel, sardines, shrimp (~300mg per 100g, plus astaxanthin and 20g protein at 100 kcal). Two oily-fish meals a week does it.</t>
  </si>
  <si>
    <t xml:space="preserve">The one you flagged, and rightly. Anti-inflammatory, supports recovery between sessions, and there's reasonable evidence for mood and cognition — relevant if stress and overthinking are part of the picture. Most guidelines set a floor of 250-500mg; 1-2g is the range used in the training and inflammation literature.</t>
  </si>
  <si>
    <t xml:space="preserve">Omega-3 (ALA, plant)</t>
  </si>
  <si>
    <t xml:space="preserve">1,600 mg</t>
  </si>
  <si>
    <t xml:space="preserve">Chia seeds (~5,000mg per 30g), flaxseed, walnuts. 30g of chia in yoghurt or oats covers it several times over.</t>
  </si>
  <si>
    <t xml:space="preserve">Conversion of ALA to EPA/DHA in humans is poor — under 10%. So chia is genuinely worth eating for its fibre and minerals, but it does not replace the fish. Eat both.</t>
  </si>
  <si>
    <t xml:space="preserve">Oats, beans, lentils, chia (10g per 30g), berries, broccoli, whole fruit rather than juice.</t>
  </si>
  <si>
    <t xml:space="preserve">Underrated for exactly your situation. Fibre slows gastric emptying, which flattens the blood-sugar swings that drive stress snacking. It's also the cheapest satiety you can buy in a deficit.</t>
  </si>
  <si>
    <t xml:space="preserve">Vitamin D3</t>
  </si>
  <si>
    <t xml:space="preserve">1,000-2,000 IU</t>
  </si>
  <si>
    <t xml:space="preserve">Sunlight, oily fish, egg yolks, fortified milk. Realistically a supplement if you're indoors 9-to-5.</t>
  </si>
  <si>
    <t xml:space="preserve">Deficiency is close to universal in desk workers. Affects bone density, immune function, muscle function and mood. Worth a blood test rather than guessing — it's the one nutrient here where a lab result genuinely changes the dose.</t>
  </si>
  <si>
    <t xml:space="preserve">Magnesium</t>
  </si>
  <si>
    <t xml:space="preserve">400-420 mg</t>
  </si>
  <si>
    <t xml:space="preserve">Pumpkin seeds, almonds, spinach, dark chocolate (a legitimate reason to keep some in the house), black beans.</t>
  </si>
  <si>
    <t xml:space="preserve">Involved in muscle contraction and sleep quality. Training hard and sleeping badly both drain it, and you've described a stress load that tends to come with poor sleep. Glycinate form if you supplement — better absorbed, and easier on the gut.</t>
  </si>
  <si>
    <t xml:space="preserve">Creatine monohydrate</t>
  </si>
  <si>
    <t xml:space="preserve">3-5 g</t>
  </si>
  <si>
    <t xml:space="preserve">Red meat and fish contain small amounts. Practically, this is one you supplement.</t>
  </si>
  <si>
    <t xml:space="preserve">The most studied and most reliably effective legal supplement there is. Helps you hold strength while cutting, which is exactly the fight you're in. No loading phase needed, monohydrate only, timing is irrelevant. Ignore anything sold as a fancier version.</t>
  </si>
  <si>
    <t xml:space="preserve">Zinc</t>
  </si>
  <si>
    <t xml:space="preserve">11 mg</t>
  </si>
  <si>
    <t xml:space="preserve">Oysters, beef, pumpkin seeds, chickpeas, cashews.</t>
  </si>
  <si>
    <t xml:space="preserve">Immune function and testosterone production. Depletes through sweat, so training frequency matters here.</t>
  </si>
  <si>
    <t xml:space="preserve">Iron</t>
  </si>
  <si>
    <t xml:space="preserve">8 mg</t>
  </si>
  <si>
    <t xml:space="preserve">Red meat, lentils, spinach, fortified cereal. Pair plant sources with vitamin C to absorb them.</t>
  </si>
  <si>
    <t xml:space="preserve">Oxygen transport — directly tied to the stamina goal. Low iron shows up as fatigue and breathlessness on the intervals long before any blood test flags it.</t>
  </si>
  <si>
    <t xml:space="preserve">Potassium</t>
  </si>
  <si>
    <t xml:space="preserve">3,400 mg</t>
  </si>
  <si>
    <t xml:space="preserve">Bananas, potatoes, spinach, beans, yoghurt.</t>
  </si>
  <si>
    <t xml:space="preserve">Balances sodium and regulates blood pressure. Most people eat far too little relative to salt.</t>
  </si>
  <si>
    <t xml:space="preserve">Calcium</t>
  </si>
  <si>
    <t xml:space="preserve">1,000 mg</t>
  </si>
  <si>
    <t xml:space="preserve">Dairy, fortified plant milk, sardines with bones, leafy greens.</t>
  </si>
  <si>
    <t xml:space="preserve">Bone density, and it's actively protective when you're lifting heavy twice a week on lower body.</t>
  </si>
  <si>
    <t xml:space="preserve">Vitamin B12</t>
  </si>
  <si>
    <t xml:space="preserve">2.4 mcg</t>
  </si>
  <si>
    <t xml:space="preserve">Meat, fish, eggs, dairy. Fortified foods if you eat little animal protein.</t>
  </si>
  <si>
    <t xml:space="preserve">Red blood cell formation and nerve function. Easy to hit on your diet — flagged mainly so you notice if you cut meat.</t>
  </si>
  <si>
    <t xml:space="preserve">Sodium</t>
  </si>
  <si>
    <t xml:space="preserve">under 2,300 mg</t>
  </si>
  <si>
    <t xml:space="preserve">Not something to add. The issue is packaged food, restaurant meals and the weekend takeaway.</t>
  </si>
  <si>
    <t xml:space="preserve">The one to keep down rather than up. High sodium also causes water retention that makes the scale jump 1-2kg after a weekend — which is water, not fat, and gone by Wednesday.</t>
  </si>
  <si>
    <t xml:space="preserve">  HIGH-PROTEIN FOODS RANKED BY WHAT THEY COST YOU IN CALORIES</t>
  </si>
  <si>
    <t xml:space="preserve">Food (100g cooked)</t>
  </si>
  <si>
    <t xml:space="preserve">Protein (g)</t>
  </si>
  <si>
    <t xml:space="preserve">Calories</t>
  </si>
  <si>
    <t xml:space="preserve">Shrimp / prawns</t>
  </si>
  <si>
    <t xml:space="preserve">Best protein-to-calorie ratio on this list, plus omega-3, selenium and B12. You mentioned it — it earns the spot.</t>
  </si>
  <si>
    <t xml:space="preserve">White fish (cod, tilapia)</t>
  </si>
  <si>
    <t xml:space="preserve">Almost pure protein. Bland on its own, which is what spice is for.</t>
  </si>
  <si>
    <t xml:space="preserve">Chicken breast</t>
  </si>
  <si>
    <t xml:space="preserve">The default. Gets boring fast — rotate it or you'll stop eating it.</t>
  </si>
  <si>
    <t xml:space="preserve">Egg whites</t>
  </si>
  <si>
    <t xml:space="preserve">Cheap volume protein. Keep some yolks though, that's where the nutrients live.</t>
  </si>
  <si>
    <t xml:space="preserve">Greek yoghurt (0%)</t>
  </si>
  <si>
    <t xml:space="preserve">Excellent evening food. Casein digests slowly, so it holds through the night.</t>
  </si>
  <si>
    <t xml:space="preserve">Cottage cheese</t>
  </si>
  <si>
    <t xml:space="preserve">Same logic. Better savoury than most people expect.</t>
  </si>
  <si>
    <t xml:space="preserve">Tuna (in water)</t>
  </si>
  <si>
    <t xml:space="preserve">Convenient. Cap it at 3-4 tins a week for mercury.</t>
  </si>
  <si>
    <t xml:space="preserve">Salmon</t>
  </si>
  <si>
    <t xml:space="preserve">Higher calorie, and worth every one of them for the EPA and DHA.</t>
  </si>
  <si>
    <t xml:space="preserve">Lean beef (sirloin)</t>
  </si>
  <si>
    <t xml:space="preserve">Iron, zinc, creatine. Once or twice a week.</t>
  </si>
  <si>
    <t xml:space="preserve">Whey protein (1 scoop)</t>
  </si>
  <si>
    <t xml:space="preserve">Not magic, just convenient. Useful for closing a 30g gap at 9pm.</t>
  </si>
  <si>
    <t xml:space="preserve">Lentils</t>
  </si>
  <si>
    <t xml:space="preserve">Protein plus 8g of fibre. Doing two jobs at once.</t>
  </si>
  <si>
    <t xml:space="preserve">Tofu (firm)</t>
  </si>
  <si>
    <t xml:space="preserve">Complete protein, and a genuine break from meat.</t>
  </si>
  <si>
    <t xml:space="preserve">Paneer</t>
  </si>
  <si>
    <t xml:space="preserve">High protein but high fat too — count it properly.</t>
  </si>
  <si>
    <t xml:space="preserve">Chia seeds (30g)</t>
  </si>
  <si>
    <t xml:space="preserve">Not really a protein food. Here for 10g fibre and 5g ALA omega-3.</t>
  </si>
  <si>
    <t xml:space="preserve">Supplements worth the money, in order: creatine monohydrate, vitamin D3, omega-3, magnesium glycinate. Whey if it makes the protein target easier to hit. That is the whole list. Fat burners, testosterone boosters, BCAAs and detox anything do nothing that a decent diet doesn't already do. Check with a doctor before starting supplements if you take any medication — omega-3 at higher doses interacts with blood thinners in particular.</t>
  </si>
  <si>
    <t xml:space="preserve">  WEEKLY TRACKER  —  log eight numbers on Sunday, get told what to fix</t>
  </si>
  <si>
    <t xml:space="preserve">Fill the yellow columns once a week, same time, same conditions — Sunday morning, after the toilet, before eating. Weigh daily if you like but only log the 7-day average; daily weight swings 1-2kg on water and means nothing. Measure the waist at the navel, relaxed, not sucked in. Columns K to N calculate themselves.</t>
  </si>
  <si>
    <t xml:space="preserve">Wk</t>
  </si>
  <si>
    <t xml:space="preserve">Week start</t>
  </si>
  <si>
    <t xml:space="preserve">Weight (kg)</t>
  </si>
  <si>
    <t xml:space="preserve">Waist (cm)</t>
  </si>
  <si>
    <t xml:space="preserve">Gym days</t>
  </si>
  <si>
    <t xml:space="preserve">Cardio / sport</t>
  </si>
  <si>
    <t xml:space="preserve">Avg kcal</t>
  </si>
  <si>
    <t xml:space="preserve">Avg protein (g)</t>
  </si>
  <si>
    <t xml:space="preserve">Avg steps</t>
  </si>
  <si>
    <t xml:space="preserve">Sleep (hrs)</t>
  </si>
  <si>
    <t xml:space="preserve">Target wt</t>
  </si>
  <si>
    <t xml:space="preserve">Variance</t>
  </si>
  <si>
    <t xml:space="preserve">Status</t>
  </si>
  <si>
    <t xml:space="preserve">What to do about it</t>
  </si>
  <si>
    <t xml:space="preserve">EG</t>
  </si>
  <si>
    <t xml:space="preserve">01-Sep-2026</t>
  </si>
  <si>
    <t xml:space="preserve">Example row — this is the format. Delete it or leave it, it feeds nothing.</t>
  </si>
  <si>
    <t xml:space="preserve">  WHAT EACH COLUMN IS ACTUALLY TELLING YOU</t>
  </si>
  <si>
    <t xml:space="preserve">Weight</t>
  </si>
  <si>
    <t xml:space="preserve">Trend only. A single week that goes the wrong way means nothing. Three weeks flat means something.</t>
  </si>
  <si>
    <t xml:space="preserve">Waist</t>
  </si>
  <si>
    <t xml:space="preserve">The better number of the two for what you're after. If the scale stalls but the waist keeps shrinking, you are recomposing — losing fat while holding or gaining muscle. That is the best possible outcome and the scale cannot see it.</t>
  </si>
  <si>
    <t xml:space="preserve">Four is the floor. Five is the bonus. This column, more than any other, predicts whether you get what you asked for.</t>
  </si>
  <si>
    <t xml:space="preserve">Pickleball and football count fully. Two to three sessions a week moves stamina; a 2025 study on recreational trainees found two to three weekly interval sessions improved VO2max with no clear benefit from adding more.</t>
  </si>
  <si>
    <t xml:space="preserve">The honest one. Most people underestimate by 20-30%. Log the cooking oil and the drinks.</t>
  </si>
  <si>
    <t xml:space="preserve">Avg protein</t>
  </si>
  <si>
    <t xml:space="preserve">The one that decides whether the weight you lose is fat or muscle. Below 85% of target triggers the loudest warning in this sheet for a reason.</t>
  </si>
  <si>
    <t xml:space="preserve">Non-exercise activity. On a desk job this is where the deficit quietly disappears — sitting still all day can swing daily burn by 400+ calories.</t>
  </si>
  <si>
    <t xml:space="preserve">Sleep</t>
  </si>
  <si>
    <t xml:space="preserve">Upstream of everything. Under-slept means higher appetite, worse recovery, worse sessions, more stress eating. It is not a soft metric.</t>
  </si>
  <si>
    <t xml:space="preserve">  MILESTONES  —  the staged goals, and what breaks if you skip an input</t>
  </si>
  <si>
    <t xml:space="preserve">Your four goals — lose belly fat, build stamina, get abs, train everything — are all six-month goals. None of them gives you a signal in week two, which is exactly why people quit in week three. So here they are broken into stages that do give a signal. Hit the stage target and you are on pace for the real thing.</t>
  </si>
  <si>
    <t xml:space="preserve">  THE STAGES</t>
  </si>
  <si>
    <t xml:space="preserve">Phase</t>
  </si>
  <si>
    <t xml:space="preserve">Target by the end of it</t>
  </si>
  <si>
    <t xml:space="preserve">What you should be able to see or do</t>
  </si>
  <si>
    <t xml:space="preserve">The trap in this phase</t>
  </si>
  <si>
    <t xml:space="preserve">Weeks 1-2
RE-ENTRY</t>
  </si>
  <si>
    <t xml:space="preserve">Show up 4x. Weights at 60-68% of your old bests. Protein above 150g on 10 of 14 days.</t>
  </si>
  <si>
    <t xml:space="preserve">Nothing visible. You'll be sore for the first four sessions and that's it. Weight may not move at all — new training causes muscle water retention that masks early fat loss.</t>
  </si>
  <si>
    <t xml:space="preserve">Going too heavy because 60% feels insulting. This is the phase where people tweak a lower back on deadlifts and lose six weeks. The ramp is deliberately conservative — respect it.</t>
  </si>
  <si>
    <t xml:space="preserve">Weeks 3-4
GROOVE</t>
  </si>
  <si>
    <t xml:space="preserve">Weights at 75-80%. Waist down 1-2cm. Weight down 1.0-1.5kg. Intervals stop feeling awful.</t>
  </si>
  <si>
    <t xml:space="preserve">Clothes fit differently before the mirror shows anything. Recovery between sets noticeably better. This is where the scale finally starts moving in a straight line.</t>
  </si>
  <si>
    <t xml:space="preserve">The first weekend that goes badly. It will happen. One bad weekend costs about 3 days of progress; quitting because of it costs everything.</t>
  </si>
  <si>
    <t xml:space="preserve">Weeks 5-8
BUILD</t>
  </si>
  <si>
    <t xml:space="preserve">Weights at 85-100% — you meet your old numbers here. Weight down 2.5-3.5kg total. Waist down 3-4cm.</t>
  </si>
  <si>
    <t xml:space="preserve">Visible change in the mirror, especially shoulders and upper chest. Upper abs starting to show in good light. You hit your college bench and squat somewhere in this window.</t>
  </si>
  <si>
    <t xml:space="preserve">Getting greedy with the deficit because it's working. Cutting harder from here costs you strength and muscle, and the strength is what makes the leanness look like anything.</t>
  </si>
  <si>
    <t xml:space="preserve">Week 9
DELOAD</t>
  </si>
  <si>
    <t xml:space="preserve">Drop to 85% of your loads for one week. Keep calories and protein exactly the same.</t>
  </si>
  <si>
    <t xml:space="preserve">You'll feel like you're wasting a week. You are not — accumulated fatigue is why weeks 10-12 will feel strong.</t>
  </si>
  <si>
    <t xml:space="preserve">Skipping it. The deload is the least negotiable week in the whole plan and the one most people bin.</t>
  </si>
  <si>
    <t xml:space="preserve">Weeks 10-12
PUSH</t>
  </si>
  <si>
    <t xml:space="preserve">New personal bests — 103-110% of your old numbers. Weight at or near 76kg. Waist down 5-6cm from the start.</t>
  </si>
  <si>
    <t xml:space="preserve">Upper abs clearly visible standing relaxed. Noticeably better on the pickleball court — that's the stamina goal arriving. Strength past where you were in college.</t>
  </si>
  <si>
    <t xml:space="preserve">Treating week 12 as the finish line. It's the end of the first block, not the end. Re-run the whole thing with new numbers in WeightRamp column B.</t>
  </si>
  <si>
    <t xml:space="preserve">Months 4-6
THE ABS PART</t>
  </si>
  <si>
    <t xml:space="preserve">Body fat into the 12-14% range. Full six-pack visible relaxed, not just flexed after a shower.</t>
  </si>
  <si>
    <t xml:space="preserve">This is where the lower abs finally appear. They are last for almost every man — lower abdominal fat is the most stubborn store there is, and no amount of crunches changes the order.</t>
  </si>
  <si>
    <t xml:space="preserve">Expecting it sooner. Going from roughly 20% to 12-13% body fat takes 10-18 weeks at a safe rate even done perfectly. The plan gets you there; the calendar is the calendar.</t>
  </si>
  <si>
    <t xml:space="preserve">  THE WARNINGS  —  skip an input, lose a goal. Read this one honestly.</t>
  </si>
  <si>
    <t xml:space="preserve">If you skip this</t>
  </si>
  <si>
    <t xml:space="preserve">This is what actually happens</t>
  </si>
  <si>
    <t xml:space="preserve">Which goal it kills</t>
  </si>
  <si>
    <t xml:space="preserve">How much slack you have</t>
  </si>
  <si>
    <t xml:space="preserve">Protein below ~150g/day</t>
  </si>
  <si>
    <t xml:space="preserve">Your body covers the shortfall by breaking down muscle. You lose weight, but a big share of it is lean tissue. You end up lighter, softer and weaker at the same weight — the outcome people mean when they say they got 'skinny fat'.</t>
  </si>
  <si>
    <t xml:space="preserve">Abs. Muscle definition. All of it.</t>
  </si>
  <si>
    <t xml:space="preserve">Almost none. This is the single least negotiable number in the workbook. Two low days a week is survivable; five is not.</t>
  </si>
  <si>
    <t xml:space="preserve">Fewer than 4 gym sessions/week</t>
  </si>
  <si>
    <t xml:space="preserve">A muscle drops to once-weekly frequency, which the research shows is meaningfully worse than twice-weekly at the same volume. Strength regain stalls, and without the strength stimulus the deficit takes muscle instead of fat.</t>
  </si>
  <si>
    <t xml:space="preserve">Target all muscles. Abs. Getting your old numbers back.</t>
  </si>
  <si>
    <t xml:space="preserve">One week at 3 sessions is fine. Two consecutive weeks and the WeightRamp needs resetting a week or two back.</t>
  </si>
  <si>
    <t xml:space="preserve">Calories over budget</t>
  </si>
  <si>
    <t xml:space="preserve">No deficit, no fat loss. The training still builds muscle underneath, so you get stronger and more muscular — while the layer over your abs stays exactly where it is.</t>
  </si>
  <si>
    <t xml:space="preserve">Belly fat. Abs.</t>
  </si>
  <si>
    <t xml:space="preserve">The weekend bank exists precisely so this has built-in slack. Roughly 500 spare calories per weekend day. Spend it, don't triple it.</t>
  </si>
  <si>
    <t xml:space="preserve">No cardio or sport</t>
  </si>
  <si>
    <t xml:space="preserve">Stamina doesn't improve. Lifting builds strength, not aerobic capacity — the two adaptations are largely separate systems.</t>
  </si>
  <si>
    <t xml:space="preserve">Improve stamina.</t>
  </si>
  <si>
    <t xml:space="preserve">Loads. Pickleball and football count fully. Two sessions a week is enough; the interval research shows little extra benefit past three.</t>
  </si>
  <si>
    <t xml:space="preserve">Sleeping under 6.5 hours</t>
  </si>
  <si>
    <t xml:space="preserve">Cortisol up, recovery down, appetite up the following day. Short sleep also shifts the composition of weight lost toward muscle rather than fat, even with everything else identical.</t>
  </si>
  <si>
    <t xml:space="preserve">Everything, quietly. This is the one that makes all the other numbers harder to hit.</t>
  </si>
  <si>
    <t xml:space="preserve">The occasional bad night is nothing. A run of them means the plan needs to get easier, not that you need more willpower.</t>
  </si>
  <si>
    <t xml:space="preserve">Ignoring the deload in week 9</t>
  </si>
  <si>
    <t xml:space="preserve">Fatigue accumulates under a deficit faster than you notice. It surfaces as a stalled lift, a bad shoulder, or a fortnight of not wanting to go — usually around week 11, right when the plan is meant to pay off.</t>
  </si>
  <si>
    <t xml:space="preserve">Weeks 10-12. Momentum.</t>
  </si>
  <si>
    <t xml:space="preserve">None worth taking. It's one week out of twelve.</t>
  </si>
  <si>
    <t xml:space="preserve">Doing more abs work to speed it up</t>
  </si>
  <si>
    <t xml:space="preserve">You build a thicker, stronger rectus abdominis under an unchanged layer of fat. Spot reduction is not physiologically possible — fat comes off systemically, in an order set by your genetics, and no exercise redirects it.</t>
  </si>
  <si>
    <t xml:space="preserve">Nothing directly. It just wastes gym time you could spend on the things that work.</t>
  </si>
  <si>
    <t xml:space="preserve">Do the core work in the plan and stop there. The Nutrition sheet is where abs are made.</t>
  </si>
  <si>
    <t xml:space="preserve">Weighing yourself daily and reacting</t>
  </si>
  <si>
    <t xml:space="preserve">Daily weight swings 1-2kg on water, salt, carbs and gut contents. React to those swings and you'll cut calories on a week you were actually fine, then binge on the rebound. The weekly average is the only signal.</t>
  </si>
  <si>
    <t xml:space="preserve">Adherence — and adherence is the one that decides all four goals.</t>
  </si>
  <si>
    <t xml:space="preserve">Weigh daily if you find it useful. Just only ever act on the 7-day average.</t>
  </si>
  <si>
    <t xml:space="preserve">  THE ONE THING THAT MATTERS MOST</t>
  </si>
  <si>
    <t xml:space="preserve">None of the above is the real risk. The real risk is that this workbook is followed at 100% for eleven days and then abandoned after one bad weekend.
The data on this is fairly stark — one 12-month comparison of matched lifters found the difference between two training splits was 3-4% on strength, and the difference in adherence was 31%. Program design is a rounding error next to whether you keep turning up. A mediocre plan followed for six months beats a perfect one followed for three weeks, every time.
So when a week goes badly — and one will — the correct response is to log it in the Tracker, read the warning, and do Monday's session. Not to restart, not to compensate with a crash week, and not to decide you need a better plan. You have a good enough plan. What you need is week fourteen.</t>
  </si>
</sst>
</file>

<file path=xl/styles.xml><?xml version="1.0" encoding="utf-8"?>
<styleSheet xmlns="http://schemas.openxmlformats.org/spreadsheetml/2006/main">
  <numFmts count="8">
    <numFmt numFmtId="164" formatCode="General"/>
    <numFmt numFmtId="165" formatCode="0.0;;&quot;RPE&quot;"/>
    <numFmt numFmtId="166" formatCode="0%"/>
    <numFmt numFmtId="167" formatCode="0.0"/>
    <numFmt numFmtId="168" formatCode="0.00"/>
    <numFmt numFmtId="169" formatCode="#,##0"/>
    <numFmt numFmtId="170" formatCode="0.0%"/>
    <numFmt numFmtId="171" formatCode="\+0.0;\-0.0;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color rgb="FF595959"/>
      <name val="Arial"/>
      <family val="0"/>
      <charset val="1"/>
    </font>
    <font>
      <b val="true"/>
      <sz val="10"/>
      <color rgb="FF1F4E79"/>
      <name val="Arial"/>
      <family val="0"/>
      <charset val="1"/>
    </font>
    <font>
      <sz val="9"/>
      <name val="Arial"/>
      <family val="0"/>
      <charset val="1"/>
    </font>
    <font>
      <b val="true"/>
      <sz val="10"/>
      <color rgb="FF0000FF"/>
      <name val="Arial"/>
      <family val="0"/>
      <charset val="1"/>
    </font>
    <font>
      <b val="true"/>
      <sz val="11"/>
      <color rgb="FF0000FF"/>
      <name val="Arial"/>
      <family val="0"/>
      <charset val="1"/>
    </font>
    <font>
      <b val="true"/>
      <sz val="11"/>
      <color rgb="FF1F4E79"/>
      <name val="Arial"/>
      <family val="0"/>
      <charset val="1"/>
    </font>
    <font>
      <sz val="10"/>
      <color rgb="FF0000FF"/>
      <name val="Arial"/>
      <family val="0"/>
      <charset val="1"/>
    </font>
    <font>
      <b val="true"/>
      <i val="true"/>
      <sz val="10"/>
      <name val="Arial"/>
      <family val="0"/>
      <charset val="1"/>
    </font>
    <font>
      <i val="true"/>
      <sz val="10"/>
      <color rgb="FF808080"/>
      <name val="Arial"/>
      <family val="0"/>
      <charset val="1"/>
    </font>
  </fonts>
  <fills count="12">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DDEBF7"/>
        <bgColor rgb="FFD9EAD3"/>
      </patternFill>
    </fill>
    <fill>
      <patternFill patternType="solid">
        <fgColor rgb="FFD9EAD3"/>
        <bgColor rgb="FFDDEBF7"/>
      </patternFill>
    </fill>
    <fill>
      <patternFill patternType="solid">
        <fgColor rgb="FFFFF2CC"/>
        <bgColor rgb="FFFCE4E4"/>
      </patternFill>
    </fill>
    <fill>
      <patternFill patternType="solid">
        <fgColor rgb="FFFFFF00"/>
        <bgColor rgb="FFFFFF00"/>
      </patternFill>
    </fill>
    <fill>
      <patternFill patternType="solid">
        <fgColor rgb="FFF2F2F2"/>
        <bgColor rgb="FFDDEBF7"/>
      </patternFill>
    </fill>
    <fill>
      <patternFill patternType="solid">
        <fgColor rgb="FFFFE0B2"/>
        <bgColor rgb="FFFFF2CC"/>
      </patternFill>
    </fill>
    <fill>
      <patternFill patternType="solid">
        <fgColor rgb="FFFCE4E4"/>
        <bgColor rgb="FFF2F2F2"/>
      </patternFill>
    </fill>
    <fill>
      <patternFill patternType="solid">
        <fgColor rgb="FFC00000"/>
        <bgColor rgb="FF8000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11" fillId="7"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7" fontId="7" fillId="9" borderId="1" xfId="0" applyFont="true" applyBorder="true" applyAlignment="true" applyProtection="false">
      <alignment horizontal="center" vertical="center" textRotation="0" wrapText="false" indent="0" shrinkToFit="false"/>
      <protection locked="true" hidden="false"/>
    </xf>
    <xf numFmtId="167" fontId="7" fillId="5"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8" fontId="12" fillId="7" borderId="1" xfId="0" applyFont="true" applyBorder="true" applyAlignment="true" applyProtection="false">
      <alignment horizontal="center" vertical="center" textRotation="0" wrapText="false" indent="0" shrinkToFit="false"/>
      <protection locked="true" hidden="false"/>
    </xf>
    <xf numFmtId="167" fontId="12" fillId="7" borderId="1" xfId="0" applyFont="true" applyBorder="true" applyAlignment="true" applyProtection="false">
      <alignment horizontal="center" vertical="center" textRotation="0" wrapText="false" indent="0" shrinkToFit="false"/>
      <protection locked="true" hidden="false"/>
    </xf>
    <xf numFmtId="169" fontId="13" fillId="0" borderId="1"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9" fontId="13" fillId="9" borderId="1" xfId="0" applyFont="true" applyBorder="true" applyAlignment="true" applyProtection="false">
      <alignment horizontal="center" vertical="center" textRotation="0" wrapText="false" indent="0" shrinkToFit="false"/>
      <protection locked="true" hidden="false"/>
    </xf>
    <xf numFmtId="169" fontId="13" fillId="5"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70" fontId="13" fillId="0" borderId="1" xfId="0" applyFont="true" applyBorder="true" applyAlignment="true" applyProtection="false">
      <alignment horizontal="center" vertical="center" textRotation="0" wrapText="false" indent="0" shrinkToFit="false"/>
      <protection locked="true" hidden="false"/>
    </xf>
    <xf numFmtId="168" fontId="13" fillId="0" borderId="1" xfId="0" applyFont="true" applyBorder="true" applyAlignment="true" applyProtection="false">
      <alignment horizontal="center" vertical="center" textRotation="0" wrapText="false" indent="0" shrinkToFit="false"/>
      <protection locked="true" hidden="false"/>
    </xf>
    <xf numFmtId="167" fontId="13" fillId="9"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7" fontId="14" fillId="7"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xf numFmtId="167" fontId="16" fillId="8" borderId="1"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5" fillId="11" borderId="0" xfId="0" applyFont="true" applyBorder="true" applyAlignment="true" applyProtection="false">
      <alignment horizontal="general" vertical="center" textRotation="0" wrapText="fals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D9EAD3"/>
      <rgbColor rgb="FFFCE4E4"/>
      <rgbColor rgb="FF99CCFF"/>
      <rgbColor rgb="FFFF99CC"/>
      <rgbColor rgb="FFCC99FF"/>
      <rgbColor rgb="FFFFE0B2"/>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2"/>
  </cols>
  <sheetData>
    <row r="1" customFormat="false" ht="24" hidden="false" customHeight="true" outlineLevel="0" collapsed="false">
      <c r="A1" s="1" t="s">
        <v>0</v>
      </c>
      <c r="B1" s="1"/>
      <c r="C1" s="1"/>
    </row>
    <row r="3" customFormat="false" ht="18" hidden="false" customHeight="true" outlineLevel="0" collapsed="false">
      <c r="A3" s="2" t="s">
        <v>1</v>
      </c>
      <c r="B3" s="2"/>
      <c r="C3" s="2"/>
    </row>
    <row r="5" customFormat="false" ht="30" hidden="false" customHeight="true" outlineLevel="0" collapsed="false">
      <c r="B5" s="3" t="s">
        <v>2</v>
      </c>
      <c r="C5" s="4" t="s">
        <v>3</v>
      </c>
    </row>
    <row r="6" customFormat="false" ht="30" hidden="false" customHeight="true" outlineLevel="0" collapsed="false">
      <c r="B6" s="3" t="s">
        <v>4</v>
      </c>
      <c r="C6" s="4" t="s">
        <v>5</v>
      </c>
    </row>
    <row r="7" customFormat="false" ht="30" hidden="false" customHeight="true" outlineLevel="0" collapsed="false">
      <c r="B7" s="3" t="s">
        <v>6</v>
      </c>
      <c r="C7" s="4" t="s">
        <v>7</v>
      </c>
    </row>
    <row r="8" customFormat="false" ht="30" hidden="false" customHeight="true" outlineLevel="0" collapsed="false">
      <c r="B8" s="3" t="s">
        <v>8</v>
      </c>
      <c r="C8" s="4" t="s">
        <v>9</v>
      </c>
    </row>
    <row r="9" customFormat="false" ht="30" hidden="false" customHeight="true" outlineLevel="0" collapsed="false">
      <c r="B9" s="3" t="s">
        <v>10</v>
      </c>
      <c r="C9" s="4" t="s">
        <v>11</v>
      </c>
    </row>
    <row r="10" customFormat="false" ht="30" hidden="false" customHeight="true" outlineLevel="0" collapsed="false">
      <c r="B10" s="3" t="s">
        <v>12</v>
      </c>
      <c r="C10" s="4" t="s">
        <v>13</v>
      </c>
    </row>
    <row r="11" customFormat="false" ht="30" hidden="false" customHeight="true" outlineLevel="0" collapsed="false">
      <c r="B11" s="3" t="s">
        <v>14</v>
      </c>
      <c r="C11" s="4" t="s">
        <v>15</v>
      </c>
    </row>
    <row r="13" customFormat="false" ht="18" hidden="false" customHeight="true" outlineLevel="0" collapsed="false">
      <c r="A13" s="2" t="s">
        <v>16</v>
      </c>
      <c r="B13" s="2"/>
      <c r="C13" s="2"/>
    </row>
    <row r="15" customFormat="false" ht="21.75" hidden="false" customHeight="true" outlineLevel="0" collapsed="false">
      <c r="B15" s="5" t="s">
        <v>17</v>
      </c>
      <c r="C15" s="4" t="s">
        <v>18</v>
      </c>
    </row>
    <row r="16" customFormat="false" ht="21.75" hidden="false" customHeight="true" outlineLevel="0" collapsed="false">
      <c r="B16" s="6" t="s">
        <v>19</v>
      </c>
      <c r="C16" s="4" t="s">
        <v>20</v>
      </c>
    </row>
    <row r="17" customFormat="false" ht="21.75" hidden="false" customHeight="true" outlineLevel="0" collapsed="false">
      <c r="B17" s="7" t="s">
        <v>21</v>
      </c>
      <c r="C17" s="4" t="s">
        <v>22</v>
      </c>
    </row>
    <row r="18" customFormat="false" ht="21.75" hidden="false" customHeight="true" outlineLevel="0" collapsed="false">
      <c r="B18" s="8" t="s">
        <v>23</v>
      </c>
      <c r="C18" s="4" t="s">
        <v>24</v>
      </c>
    </row>
    <row r="20" customFormat="false" ht="18" hidden="false" customHeight="true" outlineLevel="0" collapsed="false">
      <c r="A20" s="2" t="s">
        <v>25</v>
      </c>
      <c r="B20" s="2"/>
      <c r="C20" s="2"/>
    </row>
    <row r="22" customFormat="false" ht="15" hidden="false" customHeight="false" outlineLevel="0" collapsed="false">
      <c r="B22" s="9" t="s">
        <v>26</v>
      </c>
      <c r="C22" s="10" t="s">
        <v>27</v>
      </c>
    </row>
    <row r="23" customFormat="false" ht="57.75" hidden="false" customHeight="true" outlineLevel="0" collapsed="false">
      <c r="C23" s="11" t="s">
        <v>28</v>
      </c>
    </row>
    <row r="25" customFormat="false" ht="15" hidden="false" customHeight="false" outlineLevel="0" collapsed="false">
      <c r="B25" s="9" t="s">
        <v>26</v>
      </c>
      <c r="C25" s="10" t="s">
        <v>29</v>
      </c>
    </row>
    <row r="26" customFormat="false" ht="57.75" hidden="false" customHeight="true" outlineLevel="0" collapsed="false">
      <c r="C26" s="11" t="s">
        <v>30</v>
      </c>
    </row>
    <row r="28" customFormat="false" ht="15" hidden="false" customHeight="false" outlineLevel="0" collapsed="false">
      <c r="B28" s="9" t="s">
        <v>26</v>
      </c>
      <c r="C28" s="10" t="s">
        <v>31</v>
      </c>
    </row>
    <row r="29" customFormat="false" ht="57.75" hidden="false" customHeight="true" outlineLevel="0" collapsed="false">
      <c r="C29" s="11" t="s">
        <v>32</v>
      </c>
    </row>
    <row r="31" customFormat="false" ht="15" hidden="false" customHeight="false" outlineLevel="0" collapsed="false">
      <c r="B31" s="9" t="s">
        <v>26</v>
      </c>
      <c r="C31" s="10" t="s">
        <v>33</v>
      </c>
    </row>
    <row r="32" customFormat="false" ht="57.75" hidden="false" customHeight="true" outlineLevel="0" collapsed="false">
      <c r="C32" s="11" t="s">
        <v>34</v>
      </c>
    </row>
    <row r="34" customFormat="false" ht="18" hidden="false" customHeight="true" outlineLevel="0" collapsed="false">
      <c r="A34" s="2" t="s">
        <v>35</v>
      </c>
      <c r="B34" s="2"/>
      <c r="C34" s="2"/>
    </row>
    <row r="36" customFormat="false" ht="129.75" hidden="false" customHeight="true" outlineLevel="0" collapsed="false">
      <c r="C36" s="11" t="s">
        <v>36</v>
      </c>
    </row>
  </sheetData>
  <mergeCells count="5">
    <mergeCell ref="A1:C1"/>
    <mergeCell ref="A3:C3"/>
    <mergeCell ref="A13:C13"/>
    <mergeCell ref="A20:C20"/>
    <mergeCell ref="A34:C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26"/>
    <col collapsed="false" customWidth="true" hidden="false" outlineLevel="0" max="4" min="4" style="0" width="20"/>
    <col collapsed="false" customWidth="true" hidden="false" outlineLevel="0" max="5" min="5" style="0" width="14"/>
    <col collapsed="false" customWidth="true" hidden="false" outlineLevel="0" max="6" min="6" style="0" width="48"/>
  </cols>
  <sheetData>
    <row r="1" customFormat="false" ht="24" hidden="false" customHeight="true" outlineLevel="0" collapsed="false">
      <c r="A1" s="1" t="s">
        <v>37</v>
      </c>
      <c r="B1" s="1"/>
      <c r="C1" s="1"/>
      <c r="D1" s="1"/>
      <c r="E1" s="1"/>
      <c r="F1" s="1"/>
    </row>
    <row r="3" customFormat="false" ht="18" hidden="false" customHeight="true" outlineLevel="0" collapsed="false">
      <c r="A3" s="2" t="s">
        <v>38</v>
      </c>
      <c r="B3" s="2"/>
      <c r="C3" s="2"/>
      <c r="D3" s="2"/>
      <c r="E3" s="2"/>
      <c r="F3" s="2"/>
    </row>
    <row r="5" customFormat="false" ht="117.75" hidden="false" customHeight="true" outlineLevel="0" collapsed="false">
      <c r="A5" s="12" t="s">
        <v>39</v>
      </c>
      <c r="B5" s="12"/>
      <c r="C5" s="12"/>
      <c r="D5" s="12"/>
      <c r="E5" s="12"/>
      <c r="F5" s="12"/>
    </row>
    <row r="7" customFormat="false" ht="18" hidden="false" customHeight="true" outlineLevel="0" collapsed="false">
      <c r="A7" s="2" t="s">
        <v>40</v>
      </c>
      <c r="B7" s="2"/>
      <c r="C7" s="2"/>
      <c r="D7" s="2"/>
      <c r="E7" s="2"/>
      <c r="F7" s="2"/>
    </row>
    <row r="8" customFormat="false" ht="30" hidden="false" customHeight="true" outlineLevel="0" collapsed="false">
      <c r="A8" s="13" t="s">
        <v>41</v>
      </c>
      <c r="B8" s="13" t="s">
        <v>42</v>
      </c>
      <c r="C8" s="13" t="s">
        <v>43</v>
      </c>
      <c r="D8" s="13" t="s">
        <v>44</v>
      </c>
      <c r="E8" s="13" t="s">
        <v>45</v>
      </c>
      <c r="F8" s="13" t="s">
        <v>46</v>
      </c>
    </row>
    <row r="9" customFormat="false" ht="45.75" hidden="false" customHeight="true" outlineLevel="0" collapsed="false">
      <c r="A9" s="14" t="s">
        <v>47</v>
      </c>
      <c r="B9" s="14" t="s">
        <v>48</v>
      </c>
      <c r="C9" s="4" t="s">
        <v>49</v>
      </c>
      <c r="D9" s="4" t="s">
        <v>50</v>
      </c>
      <c r="E9" s="4" t="s">
        <v>51</v>
      </c>
      <c r="F9" s="4" t="s">
        <v>52</v>
      </c>
    </row>
    <row r="10" customFormat="false" ht="45.75" hidden="false" customHeight="true" outlineLevel="0" collapsed="false">
      <c r="A10" s="14" t="s">
        <v>53</v>
      </c>
      <c r="B10" s="14" t="s">
        <v>54</v>
      </c>
      <c r="C10" s="4" t="s">
        <v>55</v>
      </c>
      <c r="D10" s="4" t="s">
        <v>50</v>
      </c>
      <c r="E10" s="4" t="s">
        <v>51</v>
      </c>
      <c r="F10" s="4" t="s">
        <v>56</v>
      </c>
    </row>
    <row r="11" customFormat="false" ht="45.75" hidden="false" customHeight="true" outlineLevel="0" collapsed="false">
      <c r="A11" s="15" t="s">
        <v>57</v>
      </c>
      <c r="B11" s="15" t="s">
        <v>58</v>
      </c>
      <c r="C11" s="16" t="s">
        <v>59</v>
      </c>
      <c r="D11" s="16" t="s">
        <v>60</v>
      </c>
      <c r="E11" s="16" t="s">
        <v>61</v>
      </c>
      <c r="F11" s="16" t="s">
        <v>62</v>
      </c>
    </row>
    <row r="12" customFormat="false" ht="45.75" hidden="false" customHeight="true" outlineLevel="0" collapsed="false">
      <c r="A12" s="14" t="s">
        <v>63</v>
      </c>
      <c r="B12" s="14" t="s">
        <v>64</v>
      </c>
      <c r="C12" s="4" t="s">
        <v>65</v>
      </c>
      <c r="D12" s="4" t="s">
        <v>50</v>
      </c>
      <c r="E12" s="4" t="s">
        <v>51</v>
      </c>
      <c r="F12" s="4" t="s">
        <v>66</v>
      </c>
    </row>
    <row r="13" customFormat="false" ht="45.75" hidden="false" customHeight="true" outlineLevel="0" collapsed="false">
      <c r="A13" s="17" t="s">
        <v>67</v>
      </c>
      <c r="B13" s="17" t="s">
        <v>68</v>
      </c>
      <c r="C13" s="18" t="s">
        <v>69</v>
      </c>
      <c r="D13" s="18" t="s">
        <v>50</v>
      </c>
      <c r="E13" s="18" t="s">
        <v>70</v>
      </c>
      <c r="F13" s="18" t="s">
        <v>71</v>
      </c>
    </row>
    <row r="14" customFormat="false" ht="45.75" hidden="false" customHeight="true" outlineLevel="0" collapsed="false">
      <c r="A14" s="17" t="s">
        <v>72</v>
      </c>
      <c r="B14" s="17" t="s">
        <v>73</v>
      </c>
      <c r="C14" s="18" t="s">
        <v>74</v>
      </c>
      <c r="D14" s="18" t="s">
        <v>75</v>
      </c>
      <c r="E14" s="18" t="s">
        <v>70</v>
      </c>
      <c r="F14" s="18" t="s">
        <v>76</v>
      </c>
    </row>
    <row r="15" customFormat="false" ht="45.75" hidden="false" customHeight="true" outlineLevel="0" collapsed="false">
      <c r="A15" s="15" t="s">
        <v>77</v>
      </c>
      <c r="B15" s="15" t="s">
        <v>58</v>
      </c>
      <c r="C15" s="16" t="s">
        <v>78</v>
      </c>
      <c r="D15" s="16" t="s">
        <v>79</v>
      </c>
      <c r="E15" s="16" t="s">
        <v>80</v>
      </c>
      <c r="F15" s="16" t="s">
        <v>81</v>
      </c>
    </row>
    <row r="17" customFormat="false" ht="18" hidden="false" customHeight="true" outlineLevel="0" collapsed="false">
      <c r="A17" s="2" t="s">
        <v>82</v>
      </c>
      <c r="B17" s="2"/>
      <c r="C17" s="2"/>
      <c r="D17" s="2"/>
      <c r="E17" s="2"/>
      <c r="F17" s="2"/>
    </row>
    <row r="18" customFormat="false" ht="30" hidden="false" customHeight="true" outlineLevel="0" collapsed="false">
      <c r="A18" s="13" t="s">
        <v>83</v>
      </c>
      <c r="B18" s="13" t="s">
        <v>84</v>
      </c>
      <c r="C18" s="13" t="s">
        <v>85</v>
      </c>
      <c r="D18" s="13" t="s">
        <v>86</v>
      </c>
      <c r="E18" s="13" t="s">
        <v>87</v>
      </c>
      <c r="F18" s="13" t="s">
        <v>88</v>
      </c>
    </row>
    <row r="19" customFormat="false" ht="25.5" hidden="false" customHeight="true" outlineLevel="0" collapsed="false">
      <c r="A19" s="4" t="s">
        <v>89</v>
      </c>
      <c r="B19" s="19" t="s">
        <v>90</v>
      </c>
      <c r="C19" s="19" t="s">
        <v>91</v>
      </c>
      <c r="D19" s="19" t="s">
        <v>92</v>
      </c>
      <c r="E19" s="19" t="s">
        <v>93</v>
      </c>
      <c r="F19" s="19" t="s">
        <v>94</v>
      </c>
    </row>
    <row r="20" customFormat="false" ht="25.5" hidden="false" customHeight="true" outlineLevel="0" collapsed="false">
      <c r="A20" s="4" t="s">
        <v>95</v>
      </c>
      <c r="B20" s="19" t="s">
        <v>90</v>
      </c>
      <c r="C20" s="19" t="s">
        <v>91</v>
      </c>
      <c r="D20" s="19" t="s">
        <v>92</v>
      </c>
      <c r="E20" s="19" t="s">
        <v>94</v>
      </c>
      <c r="F20" s="19" t="s">
        <v>96</v>
      </c>
    </row>
    <row r="21" customFormat="false" ht="25.5" hidden="false" customHeight="true" outlineLevel="0" collapsed="false">
      <c r="A21" s="4" t="s">
        <v>97</v>
      </c>
      <c r="B21" s="19" t="s">
        <v>90</v>
      </c>
      <c r="C21" s="19" t="s">
        <v>91</v>
      </c>
      <c r="D21" s="19" t="s">
        <v>92</v>
      </c>
      <c r="E21" s="19" t="s">
        <v>94</v>
      </c>
      <c r="F21" s="20" t="s">
        <v>58</v>
      </c>
    </row>
    <row r="23" customFormat="false" ht="43.5" hidden="false" customHeight="true" outlineLevel="0" collapsed="false">
      <c r="A23" s="21" t="s">
        <v>98</v>
      </c>
      <c r="B23" s="21"/>
      <c r="C23" s="21"/>
      <c r="D23" s="21"/>
      <c r="E23" s="21"/>
      <c r="F23" s="21"/>
    </row>
    <row r="26" customFormat="false" ht="18" hidden="false" customHeight="true" outlineLevel="0" collapsed="false">
      <c r="A26" s="2" t="s">
        <v>99</v>
      </c>
      <c r="B26" s="2"/>
      <c r="C26" s="2"/>
      <c r="D26" s="2"/>
      <c r="E26" s="2"/>
      <c r="F26" s="2"/>
    </row>
    <row r="27" customFormat="false" ht="30" hidden="false" customHeight="true" outlineLevel="0" collapsed="false">
      <c r="A27" s="13" t="s">
        <v>100</v>
      </c>
      <c r="B27" s="13" t="s">
        <v>101</v>
      </c>
      <c r="C27" s="13" t="s">
        <v>102</v>
      </c>
      <c r="D27" s="13" t="s">
        <v>103</v>
      </c>
      <c r="E27" s="13"/>
      <c r="F27" s="13"/>
    </row>
    <row r="28" customFormat="false" ht="15" hidden="false" customHeight="false" outlineLevel="0" collapsed="false">
      <c r="A28" s="4" t="s">
        <v>104</v>
      </c>
      <c r="B28" s="22" t="n">
        <v>11</v>
      </c>
      <c r="C28" s="4" t="s">
        <v>105</v>
      </c>
      <c r="D28" s="4" t="s">
        <v>106</v>
      </c>
    </row>
    <row r="29" customFormat="false" ht="15" hidden="false" customHeight="false" outlineLevel="0" collapsed="false">
      <c r="A29" s="4" t="s">
        <v>107</v>
      </c>
      <c r="B29" s="22" t="n">
        <v>13</v>
      </c>
      <c r="C29" s="4" t="s">
        <v>105</v>
      </c>
      <c r="D29" s="4" t="s">
        <v>106</v>
      </c>
    </row>
    <row r="30" customFormat="false" ht="23.85" hidden="false" customHeight="false" outlineLevel="0" collapsed="false">
      <c r="A30" s="4" t="s">
        <v>108</v>
      </c>
      <c r="B30" s="22" t="n">
        <v>9</v>
      </c>
      <c r="C30" s="4" t="s">
        <v>109</v>
      </c>
      <c r="D30" s="4" t="s">
        <v>110</v>
      </c>
    </row>
    <row r="31" customFormat="false" ht="23.85" hidden="false" customHeight="false" outlineLevel="0" collapsed="false">
      <c r="A31" s="4" t="s">
        <v>111</v>
      </c>
      <c r="B31" s="22" t="n">
        <v>6</v>
      </c>
      <c r="C31" s="4" t="s">
        <v>112</v>
      </c>
      <c r="D31" s="4" t="s">
        <v>113</v>
      </c>
    </row>
    <row r="32" customFormat="false" ht="15" hidden="false" customHeight="false" outlineLevel="0" collapsed="false">
      <c r="A32" s="4" t="s">
        <v>114</v>
      </c>
      <c r="B32" s="22" t="n">
        <v>8</v>
      </c>
      <c r="C32" s="4" t="s">
        <v>115</v>
      </c>
      <c r="D32" s="4" t="s">
        <v>106</v>
      </c>
    </row>
    <row r="33" customFormat="false" ht="15" hidden="false" customHeight="false" outlineLevel="0" collapsed="false">
      <c r="A33" s="4" t="s">
        <v>116</v>
      </c>
      <c r="B33" s="22" t="n">
        <v>9</v>
      </c>
      <c r="C33" s="4" t="s">
        <v>115</v>
      </c>
      <c r="D33" s="4" t="s">
        <v>106</v>
      </c>
    </row>
    <row r="34" customFormat="false" ht="15" hidden="false" customHeight="false" outlineLevel="0" collapsed="false">
      <c r="A34" s="4" t="s">
        <v>117</v>
      </c>
      <c r="B34" s="22" t="n">
        <v>12</v>
      </c>
      <c r="C34" s="4" t="s">
        <v>105</v>
      </c>
      <c r="D34" s="4" t="s">
        <v>106</v>
      </c>
    </row>
    <row r="35" customFormat="false" ht="23.85" hidden="false" customHeight="false" outlineLevel="0" collapsed="false">
      <c r="A35" s="4" t="s">
        <v>118</v>
      </c>
      <c r="B35" s="22" t="n">
        <v>11</v>
      </c>
      <c r="C35" s="4" t="s">
        <v>105</v>
      </c>
      <c r="D35" s="4" t="s">
        <v>106</v>
      </c>
    </row>
    <row r="36" customFormat="false" ht="15" hidden="false" customHeight="false" outlineLevel="0" collapsed="false">
      <c r="A36" s="4" t="s">
        <v>119</v>
      </c>
      <c r="B36" s="22" t="n">
        <v>8</v>
      </c>
      <c r="C36" s="4" t="s">
        <v>120</v>
      </c>
      <c r="D36" s="4" t="s">
        <v>106</v>
      </c>
    </row>
    <row r="37" customFormat="false" ht="23.85" hidden="false" customHeight="false" outlineLevel="0" collapsed="false">
      <c r="A37" s="4" t="s">
        <v>121</v>
      </c>
      <c r="B37" s="22" t="n">
        <v>11</v>
      </c>
      <c r="C37" s="4" t="s">
        <v>109</v>
      </c>
      <c r="D37" s="4" t="s">
        <v>122</v>
      </c>
    </row>
    <row r="39" customFormat="false" ht="39.75" hidden="false" customHeight="true" outlineLevel="0" collapsed="false">
      <c r="A39" s="21" t="s">
        <v>123</v>
      </c>
      <c r="B39" s="21"/>
      <c r="C39" s="21"/>
      <c r="D39" s="21"/>
      <c r="E39" s="21"/>
      <c r="F39" s="21"/>
    </row>
  </sheetData>
  <mergeCells count="8">
    <mergeCell ref="A1:F1"/>
    <mergeCell ref="A3:F3"/>
    <mergeCell ref="A5:F5"/>
    <mergeCell ref="A7:F7"/>
    <mergeCell ref="A17:F17"/>
    <mergeCell ref="A23:F23"/>
    <mergeCell ref="A26:F26"/>
    <mergeCell ref="A39: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4" min="3" style="0" width="27"/>
    <col collapsed="false" customWidth="true" hidden="false" outlineLevel="0" max="5" min="5" style="0" width="15"/>
    <col collapsed="false" customWidth="true" hidden="false" outlineLevel="0" max="6" min="6" style="0" width="13"/>
    <col collapsed="false" customWidth="true" hidden="false" outlineLevel="0" max="7" min="7" style="0" width="9"/>
    <col collapsed="false" customWidth="true" hidden="false" outlineLevel="0" max="8" min="8" style="0" width="18"/>
    <col collapsed="false" customWidth="true" hidden="false" outlineLevel="0" max="9" min="9" style="0" width="12"/>
    <col collapsed="false" customWidth="true" hidden="false" outlineLevel="0" max="10" min="10" style="0" width="40"/>
  </cols>
  <sheetData>
    <row r="1" customFormat="false" ht="24" hidden="false" customHeight="true" outlineLevel="0" collapsed="false">
      <c r="A1" s="1" t="s">
        <v>124</v>
      </c>
      <c r="B1" s="1"/>
      <c r="C1" s="1"/>
      <c r="D1" s="1"/>
      <c r="E1" s="1"/>
      <c r="F1" s="1"/>
      <c r="G1" s="1"/>
      <c r="H1" s="1"/>
      <c r="I1" s="1"/>
      <c r="J1" s="1"/>
    </row>
    <row r="3" customFormat="false" ht="45.75" hidden="false" customHeight="true" outlineLevel="0" collapsed="false">
      <c r="A3" s="21" t="s">
        <v>125</v>
      </c>
      <c r="B3" s="21"/>
      <c r="C3" s="21"/>
      <c r="D3" s="21"/>
      <c r="E3" s="21"/>
      <c r="F3" s="21"/>
      <c r="G3" s="21"/>
      <c r="H3" s="21"/>
      <c r="I3" s="21"/>
      <c r="J3" s="21"/>
    </row>
    <row r="5" customFormat="false" ht="18" hidden="false" customHeight="true" outlineLevel="0" collapsed="false">
      <c r="A5" s="2" t="s">
        <v>126</v>
      </c>
      <c r="B5" s="2"/>
      <c r="C5" s="2"/>
      <c r="D5" s="2"/>
      <c r="E5" s="2"/>
      <c r="F5" s="2"/>
      <c r="G5" s="2"/>
      <c r="H5" s="2"/>
      <c r="I5" s="2"/>
      <c r="J5" s="2"/>
    </row>
    <row r="6" customFormat="false" ht="30" hidden="false" customHeight="true" outlineLevel="0" collapsed="false">
      <c r="A6" s="13" t="s">
        <v>127</v>
      </c>
      <c r="B6" s="13" t="s">
        <v>128</v>
      </c>
      <c r="C6" s="13" t="s">
        <v>129</v>
      </c>
      <c r="D6" s="13" t="s">
        <v>130</v>
      </c>
      <c r="E6" s="13" t="s">
        <v>131</v>
      </c>
      <c r="F6" s="13" t="s">
        <v>132</v>
      </c>
      <c r="G6" s="13" t="s">
        <v>58</v>
      </c>
      <c r="H6" s="13" t="s">
        <v>133</v>
      </c>
      <c r="I6" s="13" t="s">
        <v>134</v>
      </c>
      <c r="J6" s="13" t="s">
        <v>135</v>
      </c>
    </row>
    <row r="7" customFormat="false" ht="42" hidden="false" customHeight="true" outlineLevel="0" collapsed="false">
      <c r="A7" s="20" t="n">
        <v>1</v>
      </c>
      <c r="B7" s="14" t="s">
        <v>136</v>
      </c>
      <c r="C7" s="23" t="s">
        <v>137</v>
      </c>
      <c r="D7" s="18" t="s">
        <v>138</v>
      </c>
      <c r="E7" s="22" t="s">
        <v>139</v>
      </c>
      <c r="F7" s="22" t="s">
        <v>140</v>
      </c>
      <c r="G7" s="22" t="s">
        <v>141</v>
      </c>
      <c r="H7" s="4" t="s">
        <v>142</v>
      </c>
      <c r="I7" s="24" t="n">
        <f aca="false">IFERROR(INDEX(WeightRamp!$C$7:$C$30,MATCH($B7,WeightRamp!$A$7:$A$30,0)),"RPE")</f>
        <v>40</v>
      </c>
      <c r="J7" s="25" t="s">
        <v>143</v>
      </c>
    </row>
    <row r="8" customFormat="false" ht="42" hidden="false" customHeight="true" outlineLevel="0" collapsed="false">
      <c r="A8" s="20" t="n">
        <v>2</v>
      </c>
      <c r="B8" s="14" t="s">
        <v>144</v>
      </c>
      <c r="C8" s="23" t="s">
        <v>145</v>
      </c>
      <c r="D8" s="18" t="s">
        <v>146</v>
      </c>
      <c r="E8" s="22" t="s">
        <v>147</v>
      </c>
      <c r="F8" s="22" t="s">
        <v>140</v>
      </c>
      <c r="G8" s="22" t="s">
        <v>141</v>
      </c>
      <c r="H8" s="4" t="s">
        <v>148</v>
      </c>
      <c r="I8" s="24" t="n">
        <f aca="false">IFERROR(INDEX(WeightRamp!$C$7:$C$30,MATCH($B8,WeightRamp!$A$7:$A$30,0)),"RPE")</f>
        <v>27.5</v>
      </c>
      <c r="J8" s="25" t="s">
        <v>149</v>
      </c>
    </row>
    <row r="9" customFormat="false" ht="42" hidden="false" customHeight="true" outlineLevel="0" collapsed="false">
      <c r="A9" s="20" t="n">
        <v>3</v>
      </c>
      <c r="B9" s="14" t="s">
        <v>150</v>
      </c>
      <c r="C9" s="23" t="s">
        <v>151</v>
      </c>
      <c r="D9" s="18" t="s">
        <v>152</v>
      </c>
      <c r="E9" s="22" t="s">
        <v>153</v>
      </c>
      <c r="F9" s="22" t="s">
        <v>154</v>
      </c>
      <c r="G9" s="22" t="s">
        <v>155</v>
      </c>
      <c r="H9" s="4" t="s">
        <v>156</v>
      </c>
      <c r="I9" s="24" t="n">
        <f aca="false">IFERROR(INDEX(WeightRamp!$C$7:$C$30,MATCH($B9,WeightRamp!$A$7:$A$30,0)),"RPE")</f>
        <v>12.5</v>
      </c>
      <c r="J9" s="25" t="s">
        <v>157</v>
      </c>
    </row>
    <row r="10" customFormat="false" ht="42" hidden="false" customHeight="true" outlineLevel="0" collapsed="false">
      <c r="A10" s="20" t="n">
        <v>4</v>
      </c>
      <c r="B10" s="14" t="s">
        <v>158</v>
      </c>
      <c r="C10" s="23" t="s">
        <v>159</v>
      </c>
      <c r="D10" s="18" t="s">
        <v>160</v>
      </c>
      <c r="E10" s="22" t="s">
        <v>161</v>
      </c>
      <c r="F10" s="22" t="s">
        <v>162</v>
      </c>
      <c r="G10" s="22" t="s">
        <v>163</v>
      </c>
      <c r="H10" s="4" t="s">
        <v>108</v>
      </c>
      <c r="I10" s="24" t="n">
        <f aca="false">IFERROR(INDEX(WeightRamp!$C$7:$C$30,MATCH($B10,WeightRamp!$A$7:$A$30,0)),"RPE")</f>
        <v>7.5</v>
      </c>
      <c r="J10" s="25" t="s">
        <v>164</v>
      </c>
    </row>
    <row r="11" customFormat="false" ht="42" hidden="false" customHeight="true" outlineLevel="0" collapsed="false">
      <c r="A11" s="20" t="n">
        <v>5</v>
      </c>
      <c r="B11" s="14" t="s">
        <v>165</v>
      </c>
      <c r="C11" s="23" t="s">
        <v>166</v>
      </c>
      <c r="D11" s="18" t="s">
        <v>167</v>
      </c>
      <c r="E11" s="22" t="s">
        <v>168</v>
      </c>
      <c r="F11" s="22" t="s">
        <v>154</v>
      </c>
      <c r="G11" s="22" t="s">
        <v>169</v>
      </c>
      <c r="H11" s="4" t="s">
        <v>170</v>
      </c>
      <c r="I11" s="24" t="n">
        <f aca="false">IFERROR(INDEX(WeightRamp!$C$7:$C$30,MATCH($B11,WeightRamp!$A$7:$A$30,0)),"RPE")</f>
        <v>20</v>
      </c>
      <c r="J11" s="25" t="s">
        <v>171</v>
      </c>
    </row>
    <row r="12" customFormat="false" ht="42" hidden="false" customHeight="true" outlineLevel="0" collapsed="false">
      <c r="A12" s="20" t="n">
        <v>6</v>
      </c>
      <c r="B12" s="14" t="s">
        <v>172</v>
      </c>
      <c r="C12" s="23" t="s">
        <v>173</v>
      </c>
      <c r="D12" s="18" t="s">
        <v>174</v>
      </c>
      <c r="E12" s="22" t="s">
        <v>175</v>
      </c>
      <c r="F12" s="22" t="s">
        <v>154</v>
      </c>
      <c r="G12" s="22" t="s">
        <v>155</v>
      </c>
      <c r="H12" s="4" t="s">
        <v>142</v>
      </c>
      <c r="I12" s="24" t="str">
        <f aca="false">IFERROR(INDEX(WeightRamp!$C$7:$C$30,MATCH($B12,WeightRamp!$A$7:$A$30,0)),"RPE")</f>
        <v>RPE</v>
      </c>
      <c r="J12" s="25" t="s">
        <v>176</v>
      </c>
    </row>
    <row r="13" customFormat="false" ht="42" hidden="false" customHeight="true" outlineLevel="0" collapsed="false">
      <c r="A13" s="20" t="n">
        <v>7</v>
      </c>
      <c r="B13" s="14" t="s">
        <v>177</v>
      </c>
      <c r="C13" s="23" t="s">
        <v>178</v>
      </c>
      <c r="D13" s="18" t="s">
        <v>179</v>
      </c>
      <c r="E13" s="22" t="s">
        <v>180</v>
      </c>
      <c r="F13" s="22" t="s">
        <v>154</v>
      </c>
      <c r="G13" s="22" t="s">
        <v>163</v>
      </c>
      <c r="H13" s="4" t="s">
        <v>181</v>
      </c>
      <c r="I13" s="24" t="str">
        <f aca="false">IFERROR(INDEX(WeightRamp!$C$7:$C$30,MATCH($B13,WeightRamp!$A$7:$A$30,0)),"RPE")</f>
        <v>RPE</v>
      </c>
      <c r="J13" s="25" t="s">
        <v>182</v>
      </c>
    </row>
    <row r="14" customFormat="false" ht="42" hidden="false" customHeight="true" outlineLevel="0" collapsed="false">
      <c r="A14" s="20" t="s">
        <v>183</v>
      </c>
      <c r="B14" s="14" t="s">
        <v>184</v>
      </c>
      <c r="C14" s="23" t="s">
        <v>185</v>
      </c>
      <c r="D14" s="18" t="s">
        <v>186</v>
      </c>
      <c r="E14" s="22" t="s">
        <v>187</v>
      </c>
      <c r="F14" s="22" t="s">
        <v>188</v>
      </c>
      <c r="G14" s="22" t="s">
        <v>79</v>
      </c>
      <c r="H14" s="4" t="s">
        <v>189</v>
      </c>
      <c r="I14" s="26" t="s">
        <v>79</v>
      </c>
      <c r="J14" s="25" t="s">
        <v>190</v>
      </c>
    </row>
    <row r="16" customFormat="false" ht="18" hidden="false" customHeight="true" outlineLevel="0" collapsed="false">
      <c r="A16" s="2" t="s">
        <v>191</v>
      </c>
      <c r="B16" s="2"/>
      <c r="C16" s="2"/>
      <c r="D16" s="2"/>
      <c r="E16" s="2"/>
      <c r="F16" s="2"/>
      <c r="G16" s="2"/>
      <c r="H16" s="2"/>
      <c r="I16" s="2"/>
      <c r="J16" s="2"/>
    </row>
    <row r="17" customFormat="false" ht="30" hidden="false" customHeight="true" outlineLevel="0" collapsed="false">
      <c r="A17" s="13" t="s">
        <v>127</v>
      </c>
      <c r="B17" s="13" t="s">
        <v>128</v>
      </c>
      <c r="C17" s="13" t="s">
        <v>129</v>
      </c>
      <c r="D17" s="13" t="s">
        <v>130</v>
      </c>
      <c r="E17" s="13" t="s">
        <v>131</v>
      </c>
      <c r="F17" s="13" t="s">
        <v>132</v>
      </c>
      <c r="G17" s="13" t="s">
        <v>58</v>
      </c>
      <c r="H17" s="13" t="s">
        <v>133</v>
      </c>
      <c r="I17" s="13" t="s">
        <v>134</v>
      </c>
      <c r="J17" s="13" t="s">
        <v>135</v>
      </c>
    </row>
    <row r="18" customFormat="false" ht="42" hidden="false" customHeight="true" outlineLevel="0" collapsed="false">
      <c r="A18" s="20" t="n">
        <v>1</v>
      </c>
      <c r="B18" s="14" t="s">
        <v>192</v>
      </c>
      <c r="C18" s="23" t="s">
        <v>193</v>
      </c>
      <c r="D18" s="18" t="s">
        <v>194</v>
      </c>
      <c r="E18" s="22" t="s">
        <v>139</v>
      </c>
      <c r="F18" s="22" t="s">
        <v>140</v>
      </c>
      <c r="G18" s="22" t="s">
        <v>195</v>
      </c>
      <c r="H18" s="4" t="s">
        <v>196</v>
      </c>
      <c r="I18" s="24" t="n">
        <f aca="false">IFERROR(INDEX(WeightRamp!$C$7:$C$30,MATCH($B18,WeightRamp!$A$7:$A$30,0)),"RPE")</f>
        <v>30</v>
      </c>
      <c r="J18" s="25" t="s">
        <v>197</v>
      </c>
    </row>
    <row r="19" customFormat="false" ht="42" hidden="false" customHeight="true" outlineLevel="0" collapsed="false">
      <c r="A19" s="20" t="n">
        <v>2</v>
      </c>
      <c r="B19" s="14" t="s">
        <v>198</v>
      </c>
      <c r="C19" s="23" t="s">
        <v>199</v>
      </c>
      <c r="D19" s="18" t="s">
        <v>200</v>
      </c>
      <c r="E19" s="22" t="s">
        <v>153</v>
      </c>
      <c r="F19" s="22" t="s">
        <v>140</v>
      </c>
      <c r="G19" s="22" t="s">
        <v>201</v>
      </c>
      <c r="H19" s="4" t="s">
        <v>202</v>
      </c>
      <c r="I19" s="24" t="n">
        <f aca="false">IFERROR(INDEX(WeightRamp!$C$7:$C$30,MATCH($B19,WeightRamp!$A$7:$A$30,0)),"RPE")</f>
        <v>42.5</v>
      </c>
      <c r="J19" s="25" t="s">
        <v>203</v>
      </c>
    </row>
    <row r="20" customFormat="false" ht="42" hidden="false" customHeight="true" outlineLevel="0" collapsed="false">
      <c r="A20" s="20" t="n">
        <v>3</v>
      </c>
      <c r="B20" s="14" t="s">
        <v>204</v>
      </c>
      <c r="C20" s="23" t="s">
        <v>205</v>
      </c>
      <c r="D20" s="18" t="s">
        <v>206</v>
      </c>
      <c r="E20" s="22" t="s">
        <v>207</v>
      </c>
      <c r="F20" s="22" t="s">
        <v>208</v>
      </c>
      <c r="G20" s="22" t="s">
        <v>155</v>
      </c>
      <c r="H20" s="4" t="s">
        <v>209</v>
      </c>
      <c r="I20" s="24" t="str">
        <f aca="false">IFERROR(INDEX(WeightRamp!$C$7:$C$30,MATCH($B20,WeightRamp!$A$7:$A$30,0)),"RPE")</f>
        <v>RPE</v>
      </c>
      <c r="J20" s="25" t="s">
        <v>210</v>
      </c>
    </row>
    <row r="21" customFormat="false" ht="42" hidden="false" customHeight="true" outlineLevel="0" collapsed="false">
      <c r="A21" s="20" t="n">
        <v>4</v>
      </c>
      <c r="B21" s="14" t="s">
        <v>211</v>
      </c>
      <c r="C21" s="23" t="s">
        <v>212</v>
      </c>
      <c r="D21" s="18" t="s">
        <v>213</v>
      </c>
      <c r="E21" s="22" t="s">
        <v>161</v>
      </c>
      <c r="F21" s="22" t="s">
        <v>162</v>
      </c>
      <c r="G21" s="22" t="s">
        <v>163</v>
      </c>
      <c r="H21" s="4" t="s">
        <v>214</v>
      </c>
      <c r="I21" s="24" t="n">
        <f aca="false">IFERROR(INDEX(WeightRamp!$C$7:$C$30,MATCH($B21,WeightRamp!$A$7:$A$30,0)),"RPE")</f>
        <v>27.5</v>
      </c>
      <c r="J21" s="25" t="s">
        <v>215</v>
      </c>
    </row>
    <row r="22" customFormat="false" ht="42" hidden="false" customHeight="true" outlineLevel="0" collapsed="false">
      <c r="A22" s="20" t="n">
        <v>5</v>
      </c>
      <c r="B22" s="14" t="s">
        <v>216</v>
      </c>
      <c r="C22" s="23" t="s">
        <v>217</v>
      </c>
      <c r="D22" s="18" t="s">
        <v>218</v>
      </c>
      <c r="E22" s="22" t="s">
        <v>168</v>
      </c>
      <c r="F22" s="22" t="s">
        <v>154</v>
      </c>
      <c r="G22" s="22" t="s">
        <v>169</v>
      </c>
      <c r="H22" s="4" t="s">
        <v>219</v>
      </c>
      <c r="I22" s="24" t="n">
        <f aca="false">IFERROR(INDEX(WeightRamp!$C$7:$C$30,MATCH($B22,WeightRamp!$A$7:$A$30,0)),"RPE")</f>
        <v>27.5</v>
      </c>
      <c r="J22" s="25" t="s">
        <v>220</v>
      </c>
    </row>
    <row r="23" customFormat="false" ht="42" hidden="false" customHeight="true" outlineLevel="0" collapsed="false">
      <c r="A23" s="20" t="n">
        <v>6</v>
      </c>
      <c r="B23" s="14" t="s">
        <v>221</v>
      </c>
      <c r="C23" s="23" t="s">
        <v>222</v>
      </c>
      <c r="D23" s="18" t="s">
        <v>223</v>
      </c>
      <c r="E23" s="22" t="s">
        <v>224</v>
      </c>
      <c r="F23" s="22" t="s">
        <v>162</v>
      </c>
      <c r="G23" s="22" t="s">
        <v>163</v>
      </c>
      <c r="H23" s="4" t="s">
        <v>119</v>
      </c>
      <c r="I23" s="24" t="n">
        <f aca="false">IFERROR(INDEX(WeightRamp!$C$7:$C$30,MATCH($B23,WeightRamp!$A$7:$A$30,0)),"RPE")</f>
        <v>30</v>
      </c>
      <c r="J23" s="25" t="s">
        <v>225</v>
      </c>
    </row>
    <row r="24" customFormat="false" ht="42" hidden="false" customHeight="true" outlineLevel="0" collapsed="false">
      <c r="A24" s="20" t="n">
        <v>7</v>
      </c>
      <c r="B24" s="14" t="s">
        <v>226</v>
      </c>
      <c r="C24" s="23" t="s">
        <v>227</v>
      </c>
      <c r="D24" s="18" t="s">
        <v>228</v>
      </c>
      <c r="E24" s="22" t="s">
        <v>229</v>
      </c>
      <c r="F24" s="22" t="s">
        <v>154</v>
      </c>
      <c r="G24" s="22" t="s">
        <v>230</v>
      </c>
      <c r="H24" s="4" t="s">
        <v>231</v>
      </c>
      <c r="I24" s="24" t="str">
        <f aca="false">IFERROR(INDEX(WeightRamp!$C$7:$C$30,MATCH($B24,WeightRamp!$A$7:$A$30,0)),"RPE")</f>
        <v>RPE</v>
      </c>
      <c r="J24" s="25" t="s">
        <v>232</v>
      </c>
    </row>
    <row r="25" customFormat="false" ht="42" hidden="false" customHeight="true" outlineLevel="0" collapsed="false">
      <c r="A25" s="20" t="s">
        <v>183</v>
      </c>
      <c r="B25" s="14" t="s">
        <v>233</v>
      </c>
      <c r="C25" s="23" t="s">
        <v>234</v>
      </c>
      <c r="D25" s="18" t="s">
        <v>235</v>
      </c>
      <c r="E25" s="22" t="s">
        <v>236</v>
      </c>
      <c r="F25" s="22" t="s">
        <v>237</v>
      </c>
      <c r="G25" s="22" t="s">
        <v>79</v>
      </c>
      <c r="H25" s="4" t="s">
        <v>238</v>
      </c>
      <c r="I25" s="26" t="s">
        <v>79</v>
      </c>
      <c r="J25" s="25" t="s">
        <v>239</v>
      </c>
    </row>
    <row r="27" customFormat="false" ht="18" hidden="false" customHeight="true" outlineLevel="0" collapsed="false">
      <c r="A27" s="2" t="s">
        <v>240</v>
      </c>
      <c r="B27" s="2"/>
      <c r="C27" s="2"/>
      <c r="D27" s="2"/>
      <c r="E27" s="2"/>
      <c r="F27" s="2"/>
      <c r="G27" s="2"/>
      <c r="H27" s="2"/>
      <c r="I27" s="2"/>
      <c r="J27" s="2"/>
    </row>
    <row r="28" customFormat="false" ht="30" hidden="false" customHeight="true" outlineLevel="0" collapsed="false">
      <c r="A28" s="13" t="s">
        <v>127</v>
      </c>
      <c r="B28" s="13" t="s">
        <v>128</v>
      </c>
      <c r="C28" s="13" t="s">
        <v>129</v>
      </c>
      <c r="D28" s="13" t="s">
        <v>130</v>
      </c>
      <c r="E28" s="13" t="s">
        <v>131</v>
      </c>
      <c r="F28" s="13" t="s">
        <v>132</v>
      </c>
      <c r="G28" s="13" t="s">
        <v>58</v>
      </c>
      <c r="H28" s="13" t="s">
        <v>133</v>
      </c>
      <c r="I28" s="13" t="s">
        <v>134</v>
      </c>
      <c r="J28" s="13" t="s">
        <v>135</v>
      </c>
    </row>
    <row r="29" customFormat="false" ht="42" hidden="false" customHeight="true" outlineLevel="0" collapsed="false">
      <c r="A29" s="20" t="n">
        <v>1</v>
      </c>
      <c r="B29" s="14" t="s">
        <v>241</v>
      </c>
      <c r="C29" s="23" t="s">
        <v>242</v>
      </c>
      <c r="D29" s="18" t="s">
        <v>243</v>
      </c>
      <c r="E29" s="22" t="s">
        <v>244</v>
      </c>
      <c r="F29" s="22" t="s">
        <v>140</v>
      </c>
      <c r="G29" s="22" t="s">
        <v>141</v>
      </c>
      <c r="H29" s="4" t="s">
        <v>245</v>
      </c>
      <c r="I29" s="24" t="str">
        <f aca="false">IFERROR(INDEX(WeightRamp!$C$7:$C$30,MATCH($B29,WeightRamp!$A$7:$A$30,0)),"RPE")</f>
        <v>BW</v>
      </c>
      <c r="J29" s="25" t="s">
        <v>246</v>
      </c>
    </row>
    <row r="30" customFormat="false" ht="42" hidden="false" customHeight="true" outlineLevel="0" collapsed="false">
      <c r="A30" s="20" t="n">
        <v>2</v>
      </c>
      <c r="B30" s="14" t="s">
        <v>247</v>
      </c>
      <c r="C30" s="23" t="s">
        <v>248</v>
      </c>
      <c r="D30" s="18" t="s">
        <v>249</v>
      </c>
      <c r="E30" s="22" t="s">
        <v>153</v>
      </c>
      <c r="F30" s="22" t="s">
        <v>140</v>
      </c>
      <c r="G30" s="22" t="s">
        <v>201</v>
      </c>
      <c r="H30" s="4" t="s">
        <v>250</v>
      </c>
      <c r="I30" s="24" t="n">
        <f aca="false">IFERROR(INDEX(WeightRamp!$C$7:$C$30,MATCH($B30,WeightRamp!$A$7:$A$30,0)),"RPE")</f>
        <v>30</v>
      </c>
      <c r="J30" s="25" t="s">
        <v>251</v>
      </c>
    </row>
    <row r="31" customFormat="false" ht="42" hidden="false" customHeight="true" outlineLevel="0" collapsed="false">
      <c r="A31" s="20" t="n">
        <v>3</v>
      </c>
      <c r="B31" s="14" t="s">
        <v>252</v>
      </c>
      <c r="C31" s="23" t="s">
        <v>253</v>
      </c>
      <c r="D31" s="18" t="s">
        <v>254</v>
      </c>
      <c r="E31" s="22" t="s">
        <v>168</v>
      </c>
      <c r="F31" s="22" t="s">
        <v>154</v>
      </c>
      <c r="G31" s="22" t="s">
        <v>155</v>
      </c>
      <c r="H31" s="4" t="s">
        <v>255</v>
      </c>
      <c r="I31" s="24" t="n">
        <f aca="false">IFERROR(INDEX(WeightRamp!$C$7:$C$30,MATCH($B31,WeightRamp!$A$7:$A$30,0)),"RPE")</f>
        <v>27.5</v>
      </c>
      <c r="J31" s="25" t="s">
        <v>256</v>
      </c>
    </row>
    <row r="32" customFormat="false" ht="42" hidden="false" customHeight="true" outlineLevel="0" collapsed="false">
      <c r="A32" s="20" t="n">
        <v>4</v>
      </c>
      <c r="B32" s="14" t="s">
        <v>257</v>
      </c>
      <c r="C32" s="23" t="s">
        <v>258</v>
      </c>
      <c r="D32" s="18" t="s">
        <v>259</v>
      </c>
      <c r="E32" s="22" t="s">
        <v>260</v>
      </c>
      <c r="F32" s="22" t="s">
        <v>140</v>
      </c>
      <c r="G32" s="22" t="s">
        <v>163</v>
      </c>
      <c r="H32" s="4" t="s">
        <v>261</v>
      </c>
      <c r="I32" s="24" t="n">
        <f aca="false">IFERROR(INDEX(WeightRamp!$C$7:$C$30,MATCH($B32,WeightRamp!$A$7:$A$30,0)),"RPE")</f>
        <v>30</v>
      </c>
      <c r="J32" s="25" t="s">
        <v>262</v>
      </c>
    </row>
    <row r="33" customFormat="false" ht="42" hidden="false" customHeight="true" outlineLevel="0" collapsed="false">
      <c r="A33" s="20" t="n">
        <v>5</v>
      </c>
      <c r="B33" s="14" t="s">
        <v>263</v>
      </c>
      <c r="C33" s="23" t="s">
        <v>264</v>
      </c>
      <c r="D33" s="18" t="s">
        <v>265</v>
      </c>
      <c r="E33" s="22" t="s">
        <v>168</v>
      </c>
      <c r="F33" s="22" t="s">
        <v>154</v>
      </c>
      <c r="G33" s="22" t="s">
        <v>169</v>
      </c>
      <c r="H33" s="4" t="s">
        <v>266</v>
      </c>
      <c r="I33" s="24" t="n">
        <f aca="false">IFERROR(INDEX(WeightRamp!$C$7:$C$30,MATCH($B33,WeightRamp!$A$7:$A$30,0)),"RPE")</f>
        <v>7.5</v>
      </c>
      <c r="J33" s="25" t="s">
        <v>267</v>
      </c>
    </row>
    <row r="34" customFormat="false" ht="42" hidden="false" customHeight="true" outlineLevel="0" collapsed="false">
      <c r="A34" s="20" t="n">
        <v>6</v>
      </c>
      <c r="B34" s="14" t="s">
        <v>268</v>
      </c>
      <c r="C34" s="23" t="s">
        <v>269</v>
      </c>
      <c r="D34" s="18" t="s">
        <v>270</v>
      </c>
      <c r="E34" s="22" t="s">
        <v>271</v>
      </c>
      <c r="F34" s="22" t="s">
        <v>162</v>
      </c>
      <c r="G34" s="22" t="s">
        <v>163</v>
      </c>
      <c r="H34" s="4" t="s">
        <v>272</v>
      </c>
      <c r="I34" s="24" t="n">
        <f aca="false">IFERROR(INDEX(WeightRamp!$C$7:$C$30,MATCH($B34,WeightRamp!$A$7:$A$30,0)),"RPE")</f>
        <v>10</v>
      </c>
      <c r="J34" s="25" t="s">
        <v>273</v>
      </c>
    </row>
    <row r="35" customFormat="false" ht="42" hidden="false" customHeight="true" outlineLevel="0" collapsed="false">
      <c r="A35" s="20" t="n">
        <v>7</v>
      </c>
      <c r="B35" s="14" t="s">
        <v>274</v>
      </c>
      <c r="C35" s="23" t="s">
        <v>275</v>
      </c>
      <c r="D35" s="18" t="s">
        <v>276</v>
      </c>
      <c r="E35" s="22" t="s">
        <v>161</v>
      </c>
      <c r="F35" s="22" t="s">
        <v>154</v>
      </c>
      <c r="G35" s="22" t="s">
        <v>163</v>
      </c>
      <c r="H35" s="4" t="s">
        <v>277</v>
      </c>
      <c r="I35" s="24" t="n">
        <f aca="false">IFERROR(INDEX(WeightRamp!$C$7:$C$30,MATCH($B35,WeightRamp!$A$7:$A$30,0)),"RPE")</f>
        <v>15</v>
      </c>
      <c r="J35" s="25" t="s">
        <v>278</v>
      </c>
    </row>
    <row r="36" customFormat="false" ht="42" hidden="false" customHeight="true" outlineLevel="0" collapsed="false">
      <c r="A36" s="20" t="s">
        <v>183</v>
      </c>
      <c r="B36" s="14" t="s">
        <v>279</v>
      </c>
      <c r="C36" s="23" t="s">
        <v>185</v>
      </c>
      <c r="D36" s="18" t="s">
        <v>280</v>
      </c>
      <c r="E36" s="22" t="s">
        <v>187</v>
      </c>
      <c r="F36" s="22" t="s">
        <v>188</v>
      </c>
      <c r="G36" s="22" t="s">
        <v>79</v>
      </c>
      <c r="H36" s="4" t="s">
        <v>189</v>
      </c>
      <c r="I36" s="26" t="s">
        <v>79</v>
      </c>
      <c r="J36" s="25" t="s">
        <v>281</v>
      </c>
    </row>
    <row r="38" customFormat="false" ht="18" hidden="false" customHeight="true" outlineLevel="0" collapsed="false">
      <c r="A38" s="2" t="s">
        <v>282</v>
      </c>
      <c r="B38" s="2"/>
      <c r="C38" s="2"/>
      <c r="D38" s="2"/>
      <c r="E38" s="2"/>
      <c r="F38" s="2"/>
      <c r="G38" s="2"/>
      <c r="H38" s="2"/>
      <c r="I38" s="2"/>
      <c r="J38" s="2"/>
    </row>
    <row r="39" customFormat="false" ht="30" hidden="false" customHeight="true" outlineLevel="0" collapsed="false">
      <c r="A39" s="13" t="s">
        <v>127</v>
      </c>
      <c r="B39" s="13" t="s">
        <v>128</v>
      </c>
      <c r="C39" s="13" t="s">
        <v>129</v>
      </c>
      <c r="D39" s="13" t="s">
        <v>130</v>
      </c>
      <c r="E39" s="13" t="s">
        <v>131</v>
      </c>
      <c r="F39" s="13" t="s">
        <v>132</v>
      </c>
      <c r="G39" s="13" t="s">
        <v>58</v>
      </c>
      <c r="H39" s="13" t="s">
        <v>133</v>
      </c>
      <c r="I39" s="13" t="s">
        <v>134</v>
      </c>
      <c r="J39" s="13" t="s">
        <v>135</v>
      </c>
    </row>
    <row r="40" customFormat="false" ht="42" hidden="false" customHeight="true" outlineLevel="0" collapsed="false">
      <c r="A40" s="20" t="n">
        <v>1</v>
      </c>
      <c r="B40" s="14" t="s">
        <v>283</v>
      </c>
      <c r="C40" s="23" t="s">
        <v>284</v>
      </c>
      <c r="D40" s="18" t="s">
        <v>285</v>
      </c>
      <c r="E40" s="22" t="s">
        <v>286</v>
      </c>
      <c r="F40" s="22" t="s">
        <v>140</v>
      </c>
      <c r="G40" s="22" t="s">
        <v>195</v>
      </c>
      <c r="H40" s="4" t="s">
        <v>287</v>
      </c>
      <c r="I40" s="24" t="n">
        <f aca="false">IFERROR(INDEX(WeightRamp!$C$7:$C$30,MATCH($B40,WeightRamp!$A$7:$A$30,0)),"RPE")</f>
        <v>47.5</v>
      </c>
      <c r="J40" s="25" t="s">
        <v>288</v>
      </c>
    </row>
    <row r="41" customFormat="false" ht="42" hidden="false" customHeight="true" outlineLevel="0" collapsed="false">
      <c r="A41" s="20" t="n">
        <v>2</v>
      </c>
      <c r="B41" s="14" t="s">
        <v>289</v>
      </c>
      <c r="C41" s="23" t="s">
        <v>290</v>
      </c>
      <c r="D41" s="18" t="s">
        <v>291</v>
      </c>
      <c r="E41" s="22" t="s">
        <v>292</v>
      </c>
      <c r="F41" s="22" t="s">
        <v>208</v>
      </c>
      <c r="G41" s="22" t="s">
        <v>201</v>
      </c>
      <c r="H41" s="4" t="s">
        <v>293</v>
      </c>
      <c r="I41" s="24" t="n">
        <f aca="false">IFERROR(INDEX(WeightRamp!$C$7:$C$30,MATCH($B41,WeightRamp!$A$7:$A$30,0)),"RPE")</f>
        <v>42.5</v>
      </c>
      <c r="J41" s="25" t="s">
        <v>294</v>
      </c>
    </row>
    <row r="42" customFormat="false" ht="42" hidden="false" customHeight="true" outlineLevel="0" collapsed="false">
      <c r="A42" s="20" t="n">
        <v>3</v>
      </c>
      <c r="B42" s="14" t="s">
        <v>295</v>
      </c>
      <c r="C42" s="23" t="s">
        <v>193</v>
      </c>
      <c r="D42" s="18" t="s">
        <v>194</v>
      </c>
      <c r="E42" s="22" t="s">
        <v>153</v>
      </c>
      <c r="F42" s="22" t="s">
        <v>140</v>
      </c>
      <c r="G42" s="22" t="s">
        <v>201</v>
      </c>
      <c r="H42" s="4" t="s">
        <v>296</v>
      </c>
      <c r="I42" s="24" t="n">
        <f aca="false">IFERROR(INDEX(WeightRamp!$C$7:$C$30,MATCH($B42,WeightRamp!$A$7:$A$30,0)),"RPE")</f>
        <v>25</v>
      </c>
      <c r="J42" s="25" t="s">
        <v>297</v>
      </c>
    </row>
    <row r="43" customFormat="false" ht="42" hidden="false" customHeight="true" outlineLevel="0" collapsed="false">
      <c r="A43" s="20" t="n">
        <v>4</v>
      </c>
      <c r="B43" s="14" t="s">
        <v>217</v>
      </c>
      <c r="C43" s="23" t="s">
        <v>216</v>
      </c>
      <c r="D43" s="18" t="s">
        <v>298</v>
      </c>
      <c r="E43" s="22" t="s">
        <v>168</v>
      </c>
      <c r="F43" s="22" t="s">
        <v>154</v>
      </c>
      <c r="G43" s="22" t="s">
        <v>169</v>
      </c>
      <c r="H43" s="4" t="s">
        <v>219</v>
      </c>
      <c r="I43" s="24" t="n">
        <f aca="false">IFERROR(INDEX(WeightRamp!$C$7:$C$30,MATCH($B43,WeightRamp!$A$7:$A$30,0)),"RPE")</f>
        <v>27.5</v>
      </c>
      <c r="J43" s="25" t="s">
        <v>299</v>
      </c>
    </row>
    <row r="44" customFormat="false" ht="42" hidden="false" customHeight="true" outlineLevel="0" collapsed="false">
      <c r="A44" s="20" t="n">
        <v>5</v>
      </c>
      <c r="B44" s="14" t="s">
        <v>300</v>
      </c>
      <c r="C44" s="23" t="s">
        <v>199</v>
      </c>
      <c r="D44" s="18" t="s">
        <v>301</v>
      </c>
      <c r="E44" s="22" t="s">
        <v>161</v>
      </c>
      <c r="F44" s="22" t="s">
        <v>140</v>
      </c>
      <c r="G44" s="22" t="s">
        <v>163</v>
      </c>
      <c r="H44" s="4" t="s">
        <v>302</v>
      </c>
      <c r="I44" s="24" t="str">
        <f aca="false">IFERROR(INDEX(WeightRamp!$C$7:$C$30,MATCH($B44,WeightRamp!$A$7:$A$30,0)),"RPE")</f>
        <v>RPE</v>
      </c>
      <c r="J44" s="25" t="s">
        <v>303</v>
      </c>
    </row>
    <row r="45" customFormat="false" ht="42" hidden="false" customHeight="true" outlineLevel="0" collapsed="false">
      <c r="A45" s="20" t="n">
        <v>6</v>
      </c>
      <c r="B45" s="14" t="s">
        <v>304</v>
      </c>
      <c r="C45" s="23" t="s">
        <v>221</v>
      </c>
      <c r="D45" s="18" t="s">
        <v>223</v>
      </c>
      <c r="E45" s="22" t="s">
        <v>305</v>
      </c>
      <c r="F45" s="22" t="s">
        <v>162</v>
      </c>
      <c r="G45" s="22" t="s">
        <v>163</v>
      </c>
      <c r="H45" s="4" t="s">
        <v>306</v>
      </c>
      <c r="I45" s="24" t="n">
        <f aca="false">IFERROR(INDEX(WeightRamp!$C$7:$C$30,MATCH($B45,WeightRamp!$A$7:$A$30,0)),"RPE")</f>
        <v>25</v>
      </c>
      <c r="J45" s="25" t="s">
        <v>307</v>
      </c>
    </row>
    <row r="46" customFormat="false" ht="42" hidden="false" customHeight="true" outlineLevel="0" collapsed="false">
      <c r="A46" s="20" t="n">
        <v>7</v>
      </c>
      <c r="B46" s="14" t="s">
        <v>227</v>
      </c>
      <c r="C46" s="23" t="s">
        <v>274</v>
      </c>
      <c r="D46" s="18" t="s">
        <v>308</v>
      </c>
      <c r="E46" s="22" t="s">
        <v>292</v>
      </c>
      <c r="F46" s="22" t="s">
        <v>154</v>
      </c>
      <c r="G46" s="22" t="s">
        <v>163</v>
      </c>
      <c r="H46" s="4" t="s">
        <v>309</v>
      </c>
      <c r="I46" s="24" t="str">
        <f aca="false">IFERROR(INDEX(WeightRamp!$C$7:$C$30,MATCH($B46,WeightRamp!$A$7:$A$30,0)),"RPE")</f>
        <v>RPE</v>
      </c>
      <c r="J46" s="25" t="s">
        <v>310</v>
      </c>
    </row>
    <row r="47" customFormat="false" ht="42" hidden="false" customHeight="true" outlineLevel="0" collapsed="false">
      <c r="A47" s="20" t="s">
        <v>183</v>
      </c>
      <c r="B47" s="14" t="s">
        <v>311</v>
      </c>
      <c r="C47" s="23" t="s">
        <v>312</v>
      </c>
      <c r="D47" s="18" t="s">
        <v>313</v>
      </c>
      <c r="E47" s="22" t="s">
        <v>314</v>
      </c>
      <c r="F47" s="22" t="s">
        <v>188</v>
      </c>
      <c r="G47" s="22" t="s">
        <v>79</v>
      </c>
      <c r="H47" s="4" t="s">
        <v>315</v>
      </c>
      <c r="I47" s="26" t="s">
        <v>79</v>
      </c>
      <c r="J47" s="25" t="s">
        <v>316</v>
      </c>
    </row>
    <row r="49" customFormat="false" ht="18" hidden="false" customHeight="true" outlineLevel="0" collapsed="false">
      <c r="A49" s="2" t="s">
        <v>317</v>
      </c>
      <c r="B49" s="2"/>
      <c r="C49" s="2"/>
      <c r="D49" s="2"/>
      <c r="E49" s="2"/>
      <c r="F49" s="2"/>
      <c r="G49" s="2"/>
      <c r="H49" s="2"/>
      <c r="I49" s="2"/>
      <c r="J49" s="2"/>
    </row>
    <row r="50" customFormat="false" ht="30" hidden="false" customHeight="true" outlineLevel="0" collapsed="false">
      <c r="A50" s="13" t="s">
        <v>127</v>
      </c>
      <c r="B50" s="13" t="s">
        <v>128</v>
      </c>
      <c r="C50" s="13" t="s">
        <v>129</v>
      </c>
      <c r="D50" s="13" t="s">
        <v>130</v>
      </c>
      <c r="E50" s="13" t="s">
        <v>131</v>
      </c>
      <c r="F50" s="13" t="s">
        <v>132</v>
      </c>
      <c r="G50" s="13" t="s">
        <v>58</v>
      </c>
      <c r="H50" s="13" t="s">
        <v>133</v>
      </c>
      <c r="I50" s="13" t="s">
        <v>134</v>
      </c>
      <c r="J50" s="13" t="s">
        <v>135</v>
      </c>
    </row>
    <row r="51" customFormat="false" ht="42" hidden="false" customHeight="true" outlineLevel="0" collapsed="false">
      <c r="A51" s="20" t="n">
        <v>1</v>
      </c>
      <c r="B51" s="14" t="s">
        <v>150</v>
      </c>
      <c r="C51" s="23" t="s">
        <v>151</v>
      </c>
      <c r="D51" s="18" t="s">
        <v>318</v>
      </c>
      <c r="E51" s="22" t="s">
        <v>168</v>
      </c>
      <c r="F51" s="22" t="s">
        <v>154</v>
      </c>
      <c r="G51" s="22" t="s">
        <v>155</v>
      </c>
      <c r="H51" s="4" t="s">
        <v>156</v>
      </c>
      <c r="I51" s="24" t="n">
        <f aca="false">IFERROR(INDEX(WeightRamp!$C$7:$C$30,MATCH($B51,WeightRamp!$A$7:$A$30,0)),"RPE")</f>
        <v>12.5</v>
      </c>
      <c r="J51" s="25" t="s">
        <v>319</v>
      </c>
    </row>
    <row r="52" customFormat="false" ht="42" hidden="false" customHeight="true" outlineLevel="0" collapsed="false">
      <c r="A52" s="20" t="n">
        <v>2</v>
      </c>
      <c r="B52" s="14" t="s">
        <v>320</v>
      </c>
      <c r="C52" s="23" t="s">
        <v>321</v>
      </c>
      <c r="D52" s="18" t="s">
        <v>322</v>
      </c>
      <c r="E52" s="22" t="s">
        <v>168</v>
      </c>
      <c r="F52" s="22" t="s">
        <v>154</v>
      </c>
      <c r="G52" s="22" t="s">
        <v>155</v>
      </c>
      <c r="H52" s="4" t="s">
        <v>245</v>
      </c>
      <c r="I52" s="24" t="str">
        <f aca="false">IFERROR(INDEX(WeightRamp!$C$7:$C$30,MATCH($B52,WeightRamp!$A$7:$A$30,0)),"RPE")</f>
        <v>RPE</v>
      </c>
      <c r="J52" s="25" t="s">
        <v>323</v>
      </c>
    </row>
    <row r="53" customFormat="false" ht="42" hidden="false" customHeight="true" outlineLevel="0" collapsed="false">
      <c r="A53" s="20" t="n">
        <v>3</v>
      </c>
      <c r="B53" s="14" t="s">
        <v>159</v>
      </c>
      <c r="C53" s="23" t="s">
        <v>158</v>
      </c>
      <c r="D53" s="18" t="s">
        <v>160</v>
      </c>
      <c r="E53" s="22" t="s">
        <v>260</v>
      </c>
      <c r="F53" s="22" t="s">
        <v>324</v>
      </c>
      <c r="G53" s="22" t="s">
        <v>230</v>
      </c>
      <c r="H53" s="4" t="s">
        <v>108</v>
      </c>
      <c r="I53" s="24" t="str">
        <f aca="false">IFERROR(INDEX(WeightRamp!$C$7:$C$30,MATCH($B53,WeightRamp!$A$7:$A$30,0)),"RPE")</f>
        <v>RPE</v>
      </c>
      <c r="J53" s="25" t="s">
        <v>325</v>
      </c>
    </row>
    <row r="54" customFormat="false" ht="42" hidden="false" customHeight="true" outlineLevel="0" collapsed="false">
      <c r="A54" s="20" t="n">
        <v>4</v>
      </c>
      <c r="B54" s="14" t="s">
        <v>258</v>
      </c>
      <c r="C54" s="23" t="s">
        <v>257</v>
      </c>
      <c r="D54" s="18" t="s">
        <v>326</v>
      </c>
      <c r="E54" s="22" t="s">
        <v>260</v>
      </c>
      <c r="F54" s="22" t="s">
        <v>154</v>
      </c>
      <c r="G54" s="22" t="s">
        <v>230</v>
      </c>
      <c r="H54" s="4" t="s">
        <v>111</v>
      </c>
      <c r="I54" s="24" t="str">
        <f aca="false">IFERROR(INDEX(WeightRamp!$C$7:$C$30,MATCH($B54,WeightRamp!$A$7:$A$30,0)),"RPE")</f>
        <v>RPE</v>
      </c>
      <c r="J54" s="25" t="s">
        <v>327</v>
      </c>
    </row>
    <row r="55" customFormat="false" ht="42" hidden="false" customHeight="true" outlineLevel="0" collapsed="false">
      <c r="A55" s="20" t="n">
        <v>5</v>
      </c>
      <c r="B55" s="14" t="s">
        <v>328</v>
      </c>
      <c r="C55" s="23" t="s">
        <v>329</v>
      </c>
      <c r="D55" s="18" t="s">
        <v>330</v>
      </c>
      <c r="E55" s="22" t="s">
        <v>331</v>
      </c>
      <c r="F55" s="22" t="s">
        <v>154</v>
      </c>
      <c r="G55" s="22" t="s">
        <v>163</v>
      </c>
      <c r="H55" s="4" t="s">
        <v>332</v>
      </c>
      <c r="I55" s="24" t="str">
        <f aca="false">IFERROR(INDEX(WeightRamp!$C$7:$C$30,MATCH($B55,WeightRamp!$A$7:$A$30,0)),"RPE")</f>
        <v>RPE</v>
      </c>
      <c r="J55" s="25" t="s">
        <v>333</v>
      </c>
    </row>
    <row r="56" customFormat="false" ht="42" hidden="false" customHeight="true" outlineLevel="0" collapsed="false">
      <c r="A56" s="20" t="n">
        <v>6</v>
      </c>
      <c r="B56" s="14" t="s">
        <v>334</v>
      </c>
      <c r="C56" s="4" t="s">
        <v>79</v>
      </c>
      <c r="D56" s="4" t="s">
        <v>79</v>
      </c>
      <c r="E56" s="22" t="s">
        <v>335</v>
      </c>
      <c r="F56" s="22" t="s">
        <v>154</v>
      </c>
      <c r="G56" s="22" t="s">
        <v>163</v>
      </c>
      <c r="H56" s="4" t="s">
        <v>336</v>
      </c>
      <c r="I56" s="24" t="str">
        <f aca="false">IFERROR(INDEX(WeightRamp!$C$7:$C$30,MATCH($B56,WeightRamp!$A$7:$A$30,0)),"RPE")</f>
        <v>RPE</v>
      </c>
      <c r="J56" s="25" t="s">
        <v>337</v>
      </c>
    </row>
    <row r="57" customFormat="false" ht="42" hidden="false" customHeight="true" outlineLevel="0" collapsed="false">
      <c r="A57" s="20" t="s">
        <v>183</v>
      </c>
      <c r="B57" s="14" t="s">
        <v>338</v>
      </c>
      <c r="C57" s="23" t="s">
        <v>339</v>
      </c>
      <c r="D57" s="18" t="s">
        <v>340</v>
      </c>
      <c r="E57" s="22" t="s">
        <v>341</v>
      </c>
      <c r="F57" s="22" t="s">
        <v>342</v>
      </c>
      <c r="G57" s="22" t="s">
        <v>79</v>
      </c>
      <c r="H57" s="4" t="s">
        <v>343</v>
      </c>
      <c r="I57" s="26" t="s">
        <v>79</v>
      </c>
      <c r="J57" s="25" t="s">
        <v>344</v>
      </c>
    </row>
  </sheetData>
  <mergeCells count="7">
    <mergeCell ref="A1:J1"/>
    <mergeCell ref="A3:J3"/>
    <mergeCell ref="A5:J5"/>
    <mergeCell ref="A16:J16"/>
    <mergeCell ref="A27:J27"/>
    <mergeCell ref="A38:J38"/>
    <mergeCell ref="A49:J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14" min="3" style="0" width="8.5"/>
    <col collapsed="false" customWidth="true" hidden="false" outlineLevel="0" max="15" min="15" style="0" width="46"/>
  </cols>
  <sheetData>
    <row r="1" customFormat="false" ht="24" hidden="false" customHeight="true" outlineLevel="0" collapsed="false">
      <c r="A1" s="1" t="s">
        <v>345</v>
      </c>
      <c r="B1" s="1"/>
      <c r="C1" s="1"/>
      <c r="D1" s="1"/>
      <c r="E1" s="1"/>
      <c r="F1" s="1"/>
      <c r="G1" s="1"/>
      <c r="H1" s="1"/>
      <c r="I1" s="1"/>
      <c r="J1" s="1"/>
      <c r="K1" s="1"/>
      <c r="L1" s="1"/>
      <c r="M1" s="1"/>
      <c r="N1" s="1"/>
      <c r="O1" s="1"/>
    </row>
    <row r="3" customFormat="false" ht="72" hidden="false" customHeight="true" outlineLevel="0" collapsed="false">
      <c r="A3" s="21" t="s">
        <v>346</v>
      </c>
      <c r="B3" s="21"/>
      <c r="C3" s="21"/>
      <c r="D3" s="21"/>
      <c r="E3" s="21"/>
      <c r="F3" s="21"/>
      <c r="G3" s="21"/>
      <c r="H3" s="21"/>
      <c r="I3" s="21"/>
      <c r="J3" s="21"/>
      <c r="K3" s="21"/>
      <c r="L3" s="21"/>
      <c r="M3" s="21"/>
      <c r="N3" s="21"/>
      <c r="O3" s="21"/>
    </row>
    <row r="5" customFormat="false" ht="30" hidden="false" customHeight="true" outlineLevel="0" collapsed="false">
      <c r="A5" s="13" t="s">
        <v>347</v>
      </c>
      <c r="B5" s="13" t="s">
        <v>348</v>
      </c>
      <c r="C5" s="13" t="s">
        <v>349</v>
      </c>
      <c r="D5" s="13" t="s">
        <v>350</v>
      </c>
      <c r="E5" s="13" t="s">
        <v>351</v>
      </c>
      <c r="F5" s="13" t="s">
        <v>352</v>
      </c>
      <c r="G5" s="13" t="s">
        <v>353</v>
      </c>
      <c r="H5" s="13" t="s">
        <v>354</v>
      </c>
      <c r="I5" s="13" t="s">
        <v>355</v>
      </c>
      <c r="J5" s="13" t="s">
        <v>356</v>
      </c>
      <c r="K5" s="13" t="s">
        <v>357</v>
      </c>
      <c r="L5" s="13" t="s">
        <v>358</v>
      </c>
      <c r="M5" s="13" t="s">
        <v>359</v>
      </c>
      <c r="N5" s="13" t="s">
        <v>360</v>
      </c>
      <c r="O5" s="13" t="s">
        <v>361</v>
      </c>
    </row>
    <row r="6" customFormat="false" ht="22.35" hidden="false" customHeight="false" outlineLevel="0" collapsed="false">
      <c r="A6" s="3" t="s">
        <v>362</v>
      </c>
      <c r="B6" s="27"/>
      <c r="C6" s="28" t="n">
        <v>0.6</v>
      </c>
      <c r="D6" s="28" t="n">
        <v>0.68</v>
      </c>
      <c r="E6" s="28" t="n">
        <v>0.75</v>
      </c>
      <c r="F6" s="28" t="n">
        <v>0.8</v>
      </c>
      <c r="G6" s="28" t="n">
        <v>0.85</v>
      </c>
      <c r="H6" s="28" t="n">
        <v>0.9</v>
      </c>
      <c r="I6" s="28" t="n">
        <v>0.95</v>
      </c>
      <c r="J6" s="28" t="n">
        <v>1</v>
      </c>
      <c r="K6" s="28" t="n">
        <v>0.85</v>
      </c>
      <c r="L6" s="28" t="n">
        <v>1.03</v>
      </c>
      <c r="M6" s="28" t="n">
        <v>1.06</v>
      </c>
      <c r="N6" s="28" t="n">
        <v>1.1</v>
      </c>
      <c r="O6" s="29" t="s">
        <v>363</v>
      </c>
    </row>
    <row r="7" customFormat="false" ht="15" hidden="false" customHeight="false" outlineLevel="0" collapsed="false">
      <c r="A7" s="14" t="s">
        <v>192</v>
      </c>
      <c r="B7" s="30" t="n">
        <v>50</v>
      </c>
      <c r="C7" s="31" t="n">
        <f aca="false">ROUND($B7*C$6/2.5,0)*2.5</f>
        <v>30</v>
      </c>
      <c r="D7" s="31" t="n">
        <f aca="false">ROUND($B7*D$6/2.5,0)*2.5</f>
        <v>35</v>
      </c>
      <c r="E7" s="31" t="n">
        <f aca="false">ROUND($B7*E$6/2.5,0)*2.5</f>
        <v>37.5</v>
      </c>
      <c r="F7" s="31" t="n">
        <f aca="false">ROUND($B7*F$6/2.5,0)*2.5</f>
        <v>40</v>
      </c>
      <c r="G7" s="31" t="n">
        <f aca="false">ROUND($B7*G$6/2.5,0)*2.5</f>
        <v>42.5</v>
      </c>
      <c r="H7" s="31" t="n">
        <f aca="false">ROUND($B7*H$6/2.5,0)*2.5</f>
        <v>45</v>
      </c>
      <c r="I7" s="31" t="n">
        <f aca="false">ROUND($B7*I$6/2.5,0)*2.5</f>
        <v>47.5</v>
      </c>
      <c r="J7" s="31" t="n">
        <f aca="false">ROUND($B7*J$6/2.5,0)*2.5</f>
        <v>50</v>
      </c>
      <c r="K7" s="32" t="n">
        <f aca="false">ROUND($B7*K$6/2.5,0)*2.5</f>
        <v>42.5</v>
      </c>
      <c r="L7" s="33" t="n">
        <f aca="false">ROUND($B7*L$6/2.5,0)*2.5</f>
        <v>52.5</v>
      </c>
      <c r="M7" s="33" t="n">
        <f aca="false">ROUND($B7*M$6/2.5,0)*2.5</f>
        <v>52.5</v>
      </c>
      <c r="N7" s="33" t="n">
        <f aca="false">ROUND($B7*N$6/2.5,0)*2.5</f>
        <v>55</v>
      </c>
      <c r="O7" s="25" t="s">
        <v>364</v>
      </c>
    </row>
    <row r="8" customFormat="false" ht="15" hidden="false" customHeight="false" outlineLevel="0" collapsed="false">
      <c r="A8" s="14" t="s">
        <v>283</v>
      </c>
      <c r="B8" s="30" t="n">
        <v>80</v>
      </c>
      <c r="C8" s="31" t="n">
        <f aca="false">ROUND($B8*C$6/2.5,0)*2.5</f>
        <v>47.5</v>
      </c>
      <c r="D8" s="31" t="n">
        <f aca="false">ROUND($B8*D$6/2.5,0)*2.5</f>
        <v>55</v>
      </c>
      <c r="E8" s="31" t="n">
        <f aca="false">ROUND($B8*E$6/2.5,0)*2.5</f>
        <v>60</v>
      </c>
      <c r="F8" s="31" t="n">
        <f aca="false">ROUND($B8*F$6/2.5,0)*2.5</f>
        <v>65</v>
      </c>
      <c r="G8" s="31" t="n">
        <f aca="false">ROUND($B8*G$6/2.5,0)*2.5</f>
        <v>67.5</v>
      </c>
      <c r="H8" s="31" t="n">
        <f aca="false">ROUND($B8*H$6/2.5,0)*2.5</f>
        <v>72.5</v>
      </c>
      <c r="I8" s="31" t="n">
        <f aca="false">ROUND($B8*I$6/2.5,0)*2.5</f>
        <v>75</v>
      </c>
      <c r="J8" s="31" t="n">
        <f aca="false">ROUND($B8*J$6/2.5,0)*2.5</f>
        <v>80</v>
      </c>
      <c r="K8" s="32" t="n">
        <f aca="false">ROUND($B8*K$6/2.5,0)*2.5</f>
        <v>67.5</v>
      </c>
      <c r="L8" s="33" t="n">
        <f aca="false">ROUND($B8*L$6/2.5,0)*2.5</f>
        <v>82.5</v>
      </c>
      <c r="M8" s="33" t="n">
        <f aca="false">ROUND($B8*M$6/2.5,0)*2.5</f>
        <v>85</v>
      </c>
      <c r="N8" s="33" t="n">
        <f aca="false">ROUND($B8*N$6/2.5,0)*2.5</f>
        <v>87.5</v>
      </c>
      <c r="O8" s="25" t="s">
        <v>365</v>
      </c>
    </row>
    <row r="9" customFormat="false" ht="15" hidden="false" customHeight="false" outlineLevel="0" collapsed="false">
      <c r="A9" s="14" t="s">
        <v>198</v>
      </c>
      <c r="B9" s="30" t="n">
        <v>70</v>
      </c>
      <c r="C9" s="31" t="n">
        <f aca="false">ROUND($B9*C$6/2.5,0)*2.5</f>
        <v>42.5</v>
      </c>
      <c r="D9" s="31" t="n">
        <f aca="false">ROUND($B9*D$6/2.5,0)*2.5</f>
        <v>47.5</v>
      </c>
      <c r="E9" s="31" t="n">
        <f aca="false">ROUND($B9*E$6/2.5,0)*2.5</f>
        <v>52.5</v>
      </c>
      <c r="F9" s="31" t="n">
        <f aca="false">ROUND($B9*F$6/2.5,0)*2.5</f>
        <v>55</v>
      </c>
      <c r="G9" s="31" t="n">
        <f aca="false">ROUND($B9*G$6/2.5,0)*2.5</f>
        <v>60</v>
      </c>
      <c r="H9" s="31" t="n">
        <f aca="false">ROUND($B9*H$6/2.5,0)*2.5</f>
        <v>62.5</v>
      </c>
      <c r="I9" s="31" t="n">
        <f aca="false">ROUND($B9*I$6/2.5,0)*2.5</f>
        <v>67.5</v>
      </c>
      <c r="J9" s="31" t="n">
        <f aca="false">ROUND($B9*J$6/2.5,0)*2.5</f>
        <v>70</v>
      </c>
      <c r="K9" s="32" t="n">
        <f aca="false">ROUND($B9*K$6/2.5,0)*2.5</f>
        <v>60</v>
      </c>
      <c r="L9" s="33" t="n">
        <f aca="false">ROUND($B9*L$6/2.5,0)*2.5</f>
        <v>72.5</v>
      </c>
      <c r="M9" s="33" t="n">
        <f aca="false">ROUND($B9*M$6/2.5,0)*2.5</f>
        <v>75</v>
      </c>
      <c r="N9" s="33" t="n">
        <f aca="false">ROUND($B9*N$6/2.5,0)*2.5</f>
        <v>77.5</v>
      </c>
      <c r="O9" s="34" t="s">
        <v>366</v>
      </c>
    </row>
    <row r="10" customFormat="false" ht="15" hidden="false" customHeight="false" outlineLevel="0" collapsed="false">
      <c r="A10" s="14" t="s">
        <v>136</v>
      </c>
      <c r="B10" s="30" t="n">
        <v>65</v>
      </c>
      <c r="C10" s="31" t="n">
        <f aca="false">ROUND($B10*C$6/2.5,0)*2.5</f>
        <v>40</v>
      </c>
      <c r="D10" s="31" t="n">
        <f aca="false">ROUND($B10*D$6/2.5,0)*2.5</f>
        <v>45</v>
      </c>
      <c r="E10" s="31" t="n">
        <f aca="false">ROUND($B10*E$6/2.5,0)*2.5</f>
        <v>50</v>
      </c>
      <c r="F10" s="31" t="n">
        <f aca="false">ROUND($B10*F$6/2.5,0)*2.5</f>
        <v>52.5</v>
      </c>
      <c r="G10" s="31" t="n">
        <f aca="false">ROUND($B10*G$6/2.5,0)*2.5</f>
        <v>55</v>
      </c>
      <c r="H10" s="31" t="n">
        <f aca="false">ROUND($B10*H$6/2.5,0)*2.5</f>
        <v>57.5</v>
      </c>
      <c r="I10" s="31" t="n">
        <f aca="false">ROUND($B10*I$6/2.5,0)*2.5</f>
        <v>62.5</v>
      </c>
      <c r="J10" s="31" t="n">
        <f aca="false">ROUND($B10*J$6/2.5,0)*2.5</f>
        <v>65</v>
      </c>
      <c r="K10" s="32" t="n">
        <f aca="false">ROUND($B10*K$6/2.5,0)*2.5</f>
        <v>55</v>
      </c>
      <c r="L10" s="33" t="n">
        <f aca="false">ROUND($B10*L$6/2.5,0)*2.5</f>
        <v>67.5</v>
      </c>
      <c r="M10" s="33" t="n">
        <f aca="false">ROUND($B10*M$6/2.5,0)*2.5</f>
        <v>70</v>
      </c>
      <c r="N10" s="33" t="n">
        <f aca="false">ROUND($B10*N$6/2.5,0)*2.5</f>
        <v>72.5</v>
      </c>
      <c r="O10" s="25" t="s">
        <v>367</v>
      </c>
    </row>
    <row r="11" customFormat="false" ht="15" hidden="false" customHeight="false" outlineLevel="0" collapsed="false">
      <c r="A11" s="14" t="s">
        <v>144</v>
      </c>
      <c r="B11" s="30" t="n">
        <v>45</v>
      </c>
      <c r="C11" s="31" t="n">
        <f aca="false">ROUND($B11*C$6/2.5,0)*2.5</f>
        <v>27.5</v>
      </c>
      <c r="D11" s="31" t="n">
        <f aca="false">ROUND($B11*D$6/2.5,0)*2.5</f>
        <v>30</v>
      </c>
      <c r="E11" s="31" t="n">
        <f aca="false">ROUND($B11*E$6/2.5,0)*2.5</f>
        <v>35</v>
      </c>
      <c r="F11" s="31" t="n">
        <f aca="false">ROUND($B11*F$6/2.5,0)*2.5</f>
        <v>35</v>
      </c>
      <c r="G11" s="31" t="n">
        <f aca="false">ROUND($B11*G$6/2.5,0)*2.5</f>
        <v>37.5</v>
      </c>
      <c r="H11" s="31" t="n">
        <f aca="false">ROUND($B11*H$6/2.5,0)*2.5</f>
        <v>40</v>
      </c>
      <c r="I11" s="31" t="n">
        <f aca="false">ROUND($B11*I$6/2.5,0)*2.5</f>
        <v>42.5</v>
      </c>
      <c r="J11" s="31" t="n">
        <f aca="false">ROUND($B11*J$6/2.5,0)*2.5</f>
        <v>45</v>
      </c>
      <c r="K11" s="32" t="n">
        <f aca="false">ROUND($B11*K$6/2.5,0)*2.5</f>
        <v>37.5</v>
      </c>
      <c r="L11" s="33" t="n">
        <f aca="false">ROUND($B11*L$6/2.5,0)*2.5</f>
        <v>47.5</v>
      </c>
      <c r="M11" s="33" t="n">
        <f aca="false">ROUND($B11*M$6/2.5,0)*2.5</f>
        <v>47.5</v>
      </c>
      <c r="N11" s="33" t="n">
        <f aca="false">ROUND($B11*N$6/2.5,0)*2.5</f>
        <v>50</v>
      </c>
      <c r="O11" s="25" t="s">
        <v>368</v>
      </c>
    </row>
    <row r="12" customFormat="false" ht="15" hidden="false" customHeight="false" outlineLevel="0" collapsed="false">
      <c r="A12" s="14" t="s">
        <v>295</v>
      </c>
      <c r="B12" s="30" t="n">
        <v>40</v>
      </c>
      <c r="C12" s="31" t="n">
        <f aca="false">ROUND($B12*C$6/2.5,0)*2.5</f>
        <v>25</v>
      </c>
      <c r="D12" s="31" t="n">
        <f aca="false">ROUND($B12*D$6/2.5,0)*2.5</f>
        <v>27.5</v>
      </c>
      <c r="E12" s="31" t="n">
        <f aca="false">ROUND($B12*E$6/2.5,0)*2.5</f>
        <v>30</v>
      </c>
      <c r="F12" s="31" t="n">
        <f aca="false">ROUND($B12*F$6/2.5,0)*2.5</f>
        <v>32.5</v>
      </c>
      <c r="G12" s="31" t="n">
        <f aca="false">ROUND($B12*G$6/2.5,0)*2.5</f>
        <v>35</v>
      </c>
      <c r="H12" s="31" t="n">
        <f aca="false">ROUND($B12*H$6/2.5,0)*2.5</f>
        <v>35</v>
      </c>
      <c r="I12" s="31" t="n">
        <f aca="false">ROUND($B12*I$6/2.5,0)*2.5</f>
        <v>37.5</v>
      </c>
      <c r="J12" s="31" t="n">
        <f aca="false">ROUND($B12*J$6/2.5,0)*2.5</f>
        <v>40</v>
      </c>
      <c r="K12" s="32" t="n">
        <f aca="false">ROUND($B12*K$6/2.5,0)*2.5</f>
        <v>35</v>
      </c>
      <c r="L12" s="33" t="n">
        <f aca="false">ROUND($B12*L$6/2.5,0)*2.5</f>
        <v>40</v>
      </c>
      <c r="M12" s="33" t="n">
        <f aca="false">ROUND($B12*M$6/2.5,0)*2.5</f>
        <v>42.5</v>
      </c>
      <c r="N12" s="33" t="n">
        <f aca="false">ROUND($B12*N$6/2.5,0)*2.5</f>
        <v>45</v>
      </c>
      <c r="O12" s="34" t="s">
        <v>369</v>
      </c>
    </row>
    <row r="13" customFormat="false" ht="15" hidden="false" customHeight="false" outlineLevel="0" collapsed="false">
      <c r="A13" s="14" t="s">
        <v>247</v>
      </c>
      <c r="B13" s="30" t="n">
        <v>50</v>
      </c>
      <c r="C13" s="31" t="n">
        <f aca="false">ROUND($B13*C$6/2.5,0)*2.5</f>
        <v>30</v>
      </c>
      <c r="D13" s="31" t="n">
        <f aca="false">ROUND($B13*D$6/2.5,0)*2.5</f>
        <v>35</v>
      </c>
      <c r="E13" s="31" t="n">
        <f aca="false">ROUND($B13*E$6/2.5,0)*2.5</f>
        <v>37.5</v>
      </c>
      <c r="F13" s="31" t="n">
        <f aca="false">ROUND($B13*F$6/2.5,0)*2.5</f>
        <v>40</v>
      </c>
      <c r="G13" s="31" t="n">
        <f aca="false">ROUND($B13*G$6/2.5,0)*2.5</f>
        <v>42.5</v>
      </c>
      <c r="H13" s="31" t="n">
        <f aca="false">ROUND($B13*H$6/2.5,0)*2.5</f>
        <v>45</v>
      </c>
      <c r="I13" s="31" t="n">
        <f aca="false">ROUND($B13*I$6/2.5,0)*2.5</f>
        <v>47.5</v>
      </c>
      <c r="J13" s="31" t="n">
        <f aca="false">ROUND($B13*J$6/2.5,0)*2.5</f>
        <v>50</v>
      </c>
      <c r="K13" s="32" t="n">
        <f aca="false">ROUND($B13*K$6/2.5,0)*2.5</f>
        <v>42.5</v>
      </c>
      <c r="L13" s="33" t="n">
        <f aca="false">ROUND($B13*L$6/2.5,0)*2.5</f>
        <v>52.5</v>
      </c>
      <c r="M13" s="33" t="n">
        <f aca="false">ROUND($B13*M$6/2.5,0)*2.5</f>
        <v>52.5</v>
      </c>
      <c r="N13" s="33" t="n">
        <f aca="false">ROUND($B13*N$6/2.5,0)*2.5</f>
        <v>55</v>
      </c>
      <c r="O13" s="34" t="s">
        <v>370</v>
      </c>
    </row>
    <row r="14" customFormat="false" ht="15" hidden="false" customHeight="false" outlineLevel="0" collapsed="false">
      <c r="A14" s="14" t="s">
        <v>289</v>
      </c>
      <c r="B14" s="30" t="n">
        <v>70</v>
      </c>
      <c r="C14" s="31" t="n">
        <f aca="false">ROUND($B14*C$6/2.5,0)*2.5</f>
        <v>42.5</v>
      </c>
      <c r="D14" s="31" t="n">
        <f aca="false">ROUND($B14*D$6/2.5,0)*2.5</f>
        <v>47.5</v>
      </c>
      <c r="E14" s="31" t="n">
        <f aca="false">ROUND($B14*E$6/2.5,0)*2.5</f>
        <v>52.5</v>
      </c>
      <c r="F14" s="31" t="n">
        <f aca="false">ROUND($B14*F$6/2.5,0)*2.5</f>
        <v>55</v>
      </c>
      <c r="G14" s="31" t="n">
        <f aca="false">ROUND($B14*G$6/2.5,0)*2.5</f>
        <v>60</v>
      </c>
      <c r="H14" s="31" t="n">
        <f aca="false">ROUND($B14*H$6/2.5,0)*2.5</f>
        <v>62.5</v>
      </c>
      <c r="I14" s="31" t="n">
        <f aca="false">ROUND($B14*I$6/2.5,0)*2.5</f>
        <v>67.5</v>
      </c>
      <c r="J14" s="31" t="n">
        <f aca="false">ROUND($B14*J$6/2.5,0)*2.5</f>
        <v>70</v>
      </c>
      <c r="K14" s="32" t="n">
        <f aca="false">ROUND($B14*K$6/2.5,0)*2.5</f>
        <v>60</v>
      </c>
      <c r="L14" s="33" t="n">
        <f aca="false">ROUND($B14*L$6/2.5,0)*2.5</f>
        <v>72.5</v>
      </c>
      <c r="M14" s="33" t="n">
        <f aca="false">ROUND($B14*M$6/2.5,0)*2.5</f>
        <v>75</v>
      </c>
      <c r="N14" s="33" t="n">
        <f aca="false">ROUND($B14*N$6/2.5,0)*2.5</f>
        <v>77.5</v>
      </c>
      <c r="O14" s="34" t="s">
        <v>371</v>
      </c>
    </row>
    <row r="15" customFormat="false" ht="15" hidden="false" customHeight="false" outlineLevel="0" collapsed="false">
      <c r="A15" s="14" t="s">
        <v>241</v>
      </c>
      <c r="B15" s="30" t="n">
        <v>0</v>
      </c>
      <c r="C15" s="22" t="s">
        <v>372</v>
      </c>
      <c r="D15" s="22" t="s">
        <v>372</v>
      </c>
      <c r="E15" s="22" t="s">
        <v>372</v>
      </c>
      <c r="F15" s="22" t="s">
        <v>372</v>
      </c>
      <c r="G15" s="22" t="s">
        <v>372</v>
      </c>
      <c r="H15" s="22" t="s">
        <v>372</v>
      </c>
      <c r="I15" s="22" t="s">
        <v>372</v>
      </c>
      <c r="J15" s="22" t="s">
        <v>372</v>
      </c>
      <c r="K15" s="35" t="s">
        <v>372</v>
      </c>
      <c r="L15" s="36" t="s">
        <v>372</v>
      </c>
      <c r="M15" s="36" t="s">
        <v>372</v>
      </c>
      <c r="N15" s="36" t="s">
        <v>372</v>
      </c>
      <c r="O15" s="25" t="s">
        <v>373</v>
      </c>
    </row>
    <row r="16" customFormat="false" ht="15" hidden="false" customHeight="false" outlineLevel="0" collapsed="false">
      <c r="A16" s="14" t="s">
        <v>242</v>
      </c>
      <c r="B16" s="30" t="n">
        <v>45</v>
      </c>
      <c r="C16" s="31" t="n">
        <f aca="false">ROUND($B16*C$6/2.5,0)*2.5</f>
        <v>27.5</v>
      </c>
      <c r="D16" s="31" t="n">
        <f aca="false">ROUND($B16*D$6/2.5,0)*2.5</f>
        <v>30</v>
      </c>
      <c r="E16" s="31" t="n">
        <f aca="false">ROUND($B16*E$6/2.5,0)*2.5</f>
        <v>35</v>
      </c>
      <c r="F16" s="31" t="n">
        <f aca="false">ROUND($B16*F$6/2.5,0)*2.5</f>
        <v>35</v>
      </c>
      <c r="G16" s="31" t="n">
        <f aca="false">ROUND($B16*G$6/2.5,0)*2.5</f>
        <v>37.5</v>
      </c>
      <c r="H16" s="31" t="n">
        <f aca="false">ROUND($B16*H$6/2.5,0)*2.5</f>
        <v>40</v>
      </c>
      <c r="I16" s="31" t="n">
        <f aca="false">ROUND($B16*I$6/2.5,0)*2.5</f>
        <v>42.5</v>
      </c>
      <c r="J16" s="31" t="n">
        <f aca="false">ROUND($B16*J$6/2.5,0)*2.5</f>
        <v>45</v>
      </c>
      <c r="K16" s="32" t="n">
        <f aca="false">ROUND($B16*K$6/2.5,0)*2.5</f>
        <v>37.5</v>
      </c>
      <c r="L16" s="33" t="n">
        <f aca="false">ROUND($B16*L$6/2.5,0)*2.5</f>
        <v>47.5</v>
      </c>
      <c r="M16" s="33" t="n">
        <f aca="false">ROUND($B16*M$6/2.5,0)*2.5</f>
        <v>47.5</v>
      </c>
      <c r="N16" s="33" t="n">
        <f aca="false">ROUND($B16*N$6/2.5,0)*2.5</f>
        <v>50</v>
      </c>
      <c r="O16" s="25" t="s">
        <v>374</v>
      </c>
    </row>
    <row r="17" customFormat="false" ht="15" hidden="false" customHeight="false" outlineLevel="0" collapsed="false">
      <c r="A17" s="14" t="s">
        <v>252</v>
      </c>
      <c r="B17" s="30" t="n">
        <v>45</v>
      </c>
      <c r="C17" s="31" t="n">
        <f aca="false">ROUND($B17*C$6/2.5,0)*2.5</f>
        <v>27.5</v>
      </c>
      <c r="D17" s="31" t="n">
        <f aca="false">ROUND($B17*D$6/2.5,0)*2.5</f>
        <v>30</v>
      </c>
      <c r="E17" s="31" t="n">
        <f aca="false">ROUND($B17*E$6/2.5,0)*2.5</f>
        <v>35</v>
      </c>
      <c r="F17" s="31" t="n">
        <f aca="false">ROUND($B17*F$6/2.5,0)*2.5</f>
        <v>35</v>
      </c>
      <c r="G17" s="31" t="n">
        <f aca="false">ROUND($B17*G$6/2.5,0)*2.5</f>
        <v>37.5</v>
      </c>
      <c r="H17" s="31" t="n">
        <f aca="false">ROUND($B17*H$6/2.5,0)*2.5</f>
        <v>40</v>
      </c>
      <c r="I17" s="31" t="n">
        <f aca="false">ROUND($B17*I$6/2.5,0)*2.5</f>
        <v>42.5</v>
      </c>
      <c r="J17" s="31" t="n">
        <f aca="false">ROUND($B17*J$6/2.5,0)*2.5</f>
        <v>45</v>
      </c>
      <c r="K17" s="32" t="n">
        <f aca="false">ROUND($B17*K$6/2.5,0)*2.5</f>
        <v>37.5</v>
      </c>
      <c r="L17" s="33" t="n">
        <f aca="false">ROUND($B17*L$6/2.5,0)*2.5</f>
        <v>47.5</v>
      </c>
      <c r="M17" s="33" t="n">
        <f aca="false">ROUND($B17*M$6/2.5,0)*2.5</f>
        <v>47.5</v>
      </c>
      <c r="N17" s="33" t="n">
        <f aca="false">ROUND($B17*N$6/2.5,0)*2.5</f>
        <v>50</v>
      </c>
      <c r="O17" s="34" t="s">
        <v>375</v>
      </c>
    </row>
    <row r="18" customFormat="false" ht="15" hidden="false" customHeight="false" outlineLevel="0" collapsed="false">
      <c r="A18" s="14" t="s">
        <v>257</v>
      </c>
      <c r="B18" s="30" t="n">
        <v>50</v>
      </c>
      <c r="C18" s="31" t="n">
        <f aca="false">ROUND($B18*C$6/2.5,0)*2.5</f>
        <v>30</v>
      </c>
      <c r="D18" s="31" t="n">
        <f aca="false">ROUND($B18*D$6/2.5,0)*2.5</f>
        <v>35</v>
      </c>
      <c r="E18" s="31" t="n">
        <f aca="false">ROUND($B18*E$6/2.5,0)*2.5</f>
        <v>37.5</v>
      </c>
      <c r="F18" s="31" t="n">
        <f aca="false">ROUND($B18*F$6/2.5,0)*2.5</f>
        <v>40</v>
      </c>
      <c r="G18" s="31" t="n">
        <f aca="false">ROUND($B18*G$6/2.5,0)*2.5</f>
        <v>42.5</v>
      </c>
      <c r="H18" s="31" t="n">
        <f aca="false">ROUND($B18*H$6/2.5,0)*2.5</f>
        <v>45</v>
      </c>
      <c r="I18" s="31" t="n">
        <f aca="false">ROUND($B18*I$6/2.5,0)*2.5</f>
        <v>47.5</v>
      </c>
      <c r="J18" s="31" t="n">
        <f aca="false">ROUND($B18*J$6/2.5,0)*2.5</f>
        <v>50</v>
      </c>
      <c r="K18" s="32" t="n">
        <f aca="false">ROUND($B18*K$6/2.5,0)*2.5</f>
        <v>42.5</v>
      </c>
      <c r="L18" s="33" t="n">
        <f aca="false">ROUND($B18*L$6/2.5,0)*2.5</f>
        <v>52.5</v>
      </c>
      <c r="M18" s="33" t="n">
        <f aca="false">ROUND($B18*M$6/2.5,0)*2.5</f>
        <v>52.5</v>
      </c>
      <c r="N18" s="33" t="n">
        <f aca="false">ROUND($B18*N$6/2.5,0)*2.5</f>
        <v>55</v>
      </c>
      <c r="O18" s="25" t="s">
        <v>376</v>
      </c>
    </row>
    <row r="19" customFormat="false" ht="15" hidden="false" customHeight="false" outlineLevel="0" collapsed="false">
      <c r="A19" s="14" t="s">
        <v>211</v>
      </c>
      <c r="B19" s="30" t="n">
        <v>45</v>
      </c>
      <c r="C19" s="31" t="n">
        <f aca="false">ROUND($B19*C$6/2.5,0)*2.5</f>
        <v>27.5</v>
      </c>
      <c r="D19" s="31" t="n">
        <f aca="false">ROUND($B19*D$6/2.5,0)*2.5</f>
        <v>30</v>
      </c>
      <c r="E19" s="31" t="n">
        <f aca="false">ROUND($B19*E$6/2.5,0)*2.5</f>
        <v>35</v>
      </c>
      <c r="F19" s="31" t="n">
        <f aca="false">ROUND($B19*F$6/2.5,0)*2.5</f>
        <v>35</v>
      </c>
      <c r="G19" s="31" t="n">
        <f aca="false">ROUND($B19*G$6/2.5,0)*2.5</f>
        <v>37.5</v>
      </c>
      <c r="H19" s="31" t="n">
        <f aca="false">ROUND($B19*H$6/2.5,0)*2.5</f>
        <v>40</v>
      </c>
      <c r="I19" s="31" t="n">
        <f aca="false">ROUND($B19*I$6/2.5,0)*2.5</f>
        <v>42.5</v>
      </c>
      <c r="J19" s="31" t="n">
        <f aca="false">ROUND($B19*J$6/2.5,0)*2.5</f>
        <v>45</v>
      </c>
      <c r="K19" s="32" t="n">
        <f aca="false">ROUND($B19*K$6/2.5,0)*2.5</f>
        <v>37.5</v>
      </c>
      <c r="L19" s="33" t="n">
        <f aca="false">ROUND($B19*L$6/2.5,0)*2.5</f>
        <v>47.5</v>
      </c>
      <c r="M19" s="33" t="n">
        <f aca="false">ROUND($B19*M$6/2.5,0)*2.5</f>
        <v>47.5</v>
      </c>
      <c r="N19" s="33" t="n">
        <f aca="false">ROUND($B19*N$6/2.5,0)*2.5</f>
        <v>50</v>
      </c>
      <c r="O19" s="25" t="s">
        <v>377</v>
      </c>
    </row>
    <row r="20" customFormat="false" ht="15" hidden="false" customHeight="false" outlineLevel="0" collapsed="false">
      <c r="A20" s="14" t="s">
        <v>216</v>
      </c>
      <c r="B20" s="30" t="n">
        <v>45</v>
      </c>
      <c r="C20" s="31" t="n">
        <f aca="false">ROUND($B20*C$6/2.5,0)*2.5</f>
        <v>27.5</v>
      </c>
      <c r="D20" s="31" t="n">
        <f aca="false">ROUND($B20*D$6/2.5,0)*2.5</f>
        <v>30</v>
      </c>
      <c r="E20" s="31" t="n">
        <f aca="false">ROUND($B20*E$6/2.5,0)*2.5</f>
        <v>35</v>
      </c>
      <c r="F20" s="31" t="n">
        <f aca="false">ROUND($B20*F$6/2.5,0)*2.5</f>
        <v>35</v>
      </c>
      <c r="G20" s="31" t="n">
        <f aca="false">ROUND($B20*G$6/2.5,0)*2.5</f>
        <v>37.5</v>
      </c>
      <c r="H20" s="31" t="n">
        <f aca="false">ROUND($B20*H$6/2.5,0)*2.5</f>
        <v>40</v>
      </c>
      <c r="I20" s="31" t="n">
        <f aca="false">ROUND($B20*I$6/2.5,0)*2.5</f>
        <v>42.5</v>
      </c>
      <c r="J20" s="31" t="n">
        <f aca="false">ROUND($B20*J$6/2.5,0)*2.5</f>
        <v>45</v>
      </c>
      <c r="K20" s="32" t="n">
        <f aca="false">ROUND($B20*K$6/2.5,0)*2.5</f>
        <v>37.5</v>
      </c>
      <c r="L20" s="33" t="n">
        <f aca="false">ROUND($B20*L$6/2.5,0)*2.5</f>
        <v>47.5</v>
      </c>
      <c r="M20" s="33" t="n">
        <f aca="false">ROUND($B20*M$6/2.5,0)*2.5</f>
        <v>47.5</v>
      </c>
      <c r="N20" s="33" t="n">
        <f aca="false">ROUND($B20*N$6/2.5,0)*2.5</f>
        <v>50</v>
      </c>
      <c r="O20" s="25" t="s">
        <v>377</v>
      </c>
    </row>
    <row r="21" customFormat="false" ht="15" hidden="false" customHeight="false" outlineLevel="0" collapsed="false">
      <c r="A21" s="14" t="s">
        <v>217</v>
      </c>
      <c r="B21" s="30" t="n">
        <v>45</v>
      </c>
      <c r="C21" s="31" t="n">
        <f aca="false">ROUND($B21*C$6/2.5,0)*2.5</f>
        <v>27.5</v>
      </c>
      <c r="D21" s="31" t="n">
        <f aca="false">ROUND($B21*D$6/2.5,0)*2.5</f>
        <v>30</v>
      </c>
      <c r="E21" s="31" t="n">
        <f aca="false">ROUND($B21*E$6/2.5,0)*2.5</f>
        <v>35</v>
      </c>
      <c r="F21" s="31" t="n">
        <f aca="false">ROUND($B21*F$6/2.5,0)*2.5</f>
        <v>35</v>
      </c>
      <c r="G21" s="31" t="n">
        <f aca="false">ROUND($B21*G$6/2.5,0)*2.5</f>
        <v>37.5</v>
      </c>
      <c r="H21" s="31" t="n">
        <f aca="false">ROUND($B21*H$6/2.5,0)*2.5</f>
        <v>40</v>
      </c>
      <c r="I21" s="31" t="n">
        <f aca="false">ROUND($B21*I$6/2.5,0)*2.5</f>
        <v>42.5</v>
      </c>
      <c r="J21" s="31" t="n">
        <f aca="false">ROUND($B21*J$6/2.5,0)*2.5</f>
        <v>45</v>
      </c>
      <c r="K21" s="32" t="n">
        <f aca="false">ROUND($B21*K$6/2.5,0)*2.5</f>
        <v>37.5</v>
      </c>
      <c r="L21" s="33" t="n">
        <f aca="false">ROUND($B21*L$6/2.5,0)*2.5</f>
        <v>47.5</v>
      </c>
      <c r="M21" s="33" t="n">
        <f aca="false">ROUND($B21*M$6/2.5,0)*2.5</f>
        <v>47.5</v>
      </c>
      <c r="N21" s="33" t="n">
        <f aca="false">ROUND($B21*N$6/2.5,0)*2.5</f>
        <v>50</v>
      </c>
      <c r="O21" s="34" t="s">
        <v>378</v>
      </c>
    </row>
    <row r="22" customFormat="false" ht="15" hidden="false" customHeight="false" outlineLevel="0" collapsed="false">
      <c r="A22" s="14" t="s">
        <v>221</v>
      </c>
      <c r="B22" s="30" t="n">
        <v>50</v>
      </c>
      <c r="C22" s="31" t="n">
        <f aca="false">ROUND($B22*C$6/2.5,0)*2.5</f>
        <v>30</v>
      </c>
      <c r="D22" s="31" t="n">
        <f aca="false">ROUND($B22*D$6/2.5,0)*2.5</f>
        <v>35</v>
      </c>
      <c r="E22" s="31" t="n">
        <f aca="false">ROUND($B22*E$6/2.5,0)*2.5</f>
        <v>37.5</v>
      </c>
      <c r="F22" s="31" t="n">
        <f aca="false">ROUND($B22*F$6/2.5,0)*2.5</f>
        <v>40</v>
      </c>
      <c r="G22" s="31" t="n">
        <f aca="false">ROUND($B22*G$6/2.5,0)*2.5</f>
        <v>42.5</v>
      </c>
      <c r="H22" s="31" t="n">
        <f aca="false">ROUND($B22*H$6/2.5,0)*2.5</f>
        <v>45</v>
      </c>
      <c r="I22" s="31" t="n">
        <f aca="false">ROUND($B22*I$6/2.5,0)*2.5</f>
        <v>47.5</v>
      </c>
      <c r="J22" s="31" t="n">
        <f aca="false">ROUND($B22*J$6/2.5,0)*2.5</f>
        <v>50</v>
      </c>
      <c r="K22" s="32" t="n">
        <f aca="false">ROUND($B22*K$6/2.5,0)*2.5</f>
        <v>42.5</v>
      </c>
      <c r="L22" s="33" t="n">
        <f aca="false">ROUND($B22*L$6/2.5,0)*2.5</f>
        <v>52.5</v>
      </c>
      <c r="M22" s="33" t="n">
        <f aca="false">ROUND($B22*M$6/2.5,0)*2.5</f>
        <v>52.5</v>
      </c>
      <c r="N22" s="33" t="n">
        <f aca="false">ROUND($B22*N$6/2.5,0)*2.5</f>
        <v>55</v>
      </c>
      <c r="O22" s="25" t="s">
        <v>379</v>
      </c>
    </row>
    <row r="23" customFormat="false" ht="15" hidden="false" customHeight="false" outlineLevel="0" collapsed="false">
      <c r="A23" s="14" t="s">
        <v>304</v>
      </c>
      <c r="B23" s="30" t="n">
        <v>40</v>
      </c>
      <c r="C23" s="31" t="n">
        <f aca="false">ROUND($B23*C$6/2.5,0)*2.5</f>
        <v>25</v>
      </c>
      <c r="D23" s="31" t="n">
        <f aca="false">ROUND($B23*D$6/2.5,0)*2.5</f>
        <v>27.5</v>
      </c>
      <c r="E23" s="31" t="n">
        <f aca="false">ROUND($B23*E$6/2.5,0)*2.5</f>
        <v>30</v>
      </c>
      <c r="F23" s="31" t="n">
        <f aca="false">ROUND($B23*F$6/2.5,0)*2.5</f>
        <v>32.5</v>
      </c>
      <c r="G23" s="31" t="n">
        <f aca="false">ROUND($B23*G$6/2.5,0)*2.5</f>
        <v>35</v>
      </c>
      <c r="H23" s="31" t="n">
        <f aca="false">ROUND($B23*H$6/2.5,0)*2.5</f>
        <v>35</v>
      </c>
      <c r="I23" s="31" t="n">
        <f aca="false">ROUND($B23*I$6/2.5,0)*2.5</f>
        <v>37.5</v>
      </c>
      <c r="J23" s="31" t="n">
        <f aca="false">ROUND($B23*J$6/2.5,0)*2.5</f>
        <v>40</v>
      </c>
      <c r="K23" s="32" t="n">
        <f aca="false">ROUND($B23*K$6/2.5,0)*2.5</f>
        <v>35</v>
      </c>
      <c r="L23" s="33" t="n">
        <f aca="false">ROUND($B23*L$6/2.5,0)*2.5</f>
        <v>40</v>
      </c>
      <c r="M23" s="33" t="n">
        <f aca="false">ROUND($B23*M$6/2.5,0)*2.5</f>
        <v>42.5</v>
      </c>
      <c r="N23" s="33" t="n">
        <f aca="false">ROUND($B23*N$6/2.5,0)*2.5</f>
        <v>45</v>
      </c>
      <c r="O23" s="34" t="s">
        <v>380</v>
      </c>
    </row>
    <row r="24" customFormat="false" ht="15" hidden="false" customHeight="false" outlineLevel="0" collapsed="false">
      <c r="A24" s="14" t="s">
        <v>145</v>
      </c>
      <c r="B24" s="30" t="n">
        <v>43</v>
      </c>
      <c r="C24" s="31" t="n">
        <f aca="false">ROUND($B24*C$6/2.5,0)*2.5</f>
        <v>25</v>
      </c>
      <c r="D24" s="31" t="n">
        <f aca="false">ROUND($B24*D$6/2.5,0)*2.5</f>
        <v>30</v>
      </c>
      <c r="E24" s="31" t="n">
        <f aca="false">ROUND($B24*E$6/2.5,0)*2.5</f>
        <v>32.5</v>
      </c>
      <c r="F24" s="31" t="n">
        <f aca="false">ROUND($B24*F$6/2.5,0)*2.5</f>
        <v>35</v>
      </c>
      <c r="G24" s="31" t="n">
        <f aca="false">ROUND($B24*G$6/2.5,0)*2.5</f>
        <v>37.5</v>
      </c>
      <c r="H24" s="31" t="n">
        <f aca="false">ROUND($B24*H$6/2.5,0)*2.5</f>
        <v>37.5</v>
      </c>
      <c r="I24" s="31" t="n">
        <f aca="false">ROUND($B24*I$6/2.5,0)*2.5</f>
        <v>40</v>
      </c>
      <c r="J24" s="31" t="n">
        <f aca="false">ROUND($B24*J$6/2.5,0)*2.5</f>
        <v>42.5</v>
      </c>
      <c r="K24" s="32" t="n">
        <f aca="false">ROUND($B24*K$6/2.5,0)*2.5</f>
        <v>37.5</v>
      </c>
      <c r="L24" s="33" t="n">
        <f aca="false">ROUND($B24*L$6/2.5,0)*2.5</f>
        <v>45</v>
      </c>
      <c r="M24" s="33" t="n">
        <f aca="false">ROUND($B24*M$6/2.5,0)*2.5</f>
        <v>45</v>
      </c>
      <c r="N24" s="33" t="n">
        <f aca="false">ROUND($B24*N$6/2.5,0)*2.5</f>
        <v>47.5</v>
      </c>
      <c r="O24" s="25" t="s">
        <v>381</v>
      </c>
    </row>
    <row r="25" customFormat="false" ht="15" hidden="false" customHeight="false" outlineLevel="0" collapsed="false">
      <c r="A25" s="14" t="s">
        <v>150</v>
      </c>
      <c r="B25" s="30" t="n">
        <v>22.5</v>
      </c>
      <c r="C25" s="31" t="n">
        <f aca="false">ROUND($B25*C$6/2.5,0)*2.5</f>
        <v>12.5</v>
      </c>
      <c r="D25" s="31" t="n">
        <f aca="false">ROUND($B25*D$6/2.5,0)*2.5</f>
        <v>15</v>
      </c>
      <c r="E25" s="31" t="n">
        <f aca="false">ROUND($B25*E$6/2.5,0)*2.5</f>
        <v>17.5</v>
      </c>
      <c r="F25" s="31" t="n">
        <f aca="false">ROUND($B25*F$6/2.5,0)*2.5</f>
        <v>17.5</v>
      </c>
      <c r="G25" s="31" t="n">
        <f aca="false">ROUND($B25*G$6/2.5,0)*2.5</f>
        <v>20</v>
      </c>
      <c r="H25" s="31" t="n">
        <f aca="false">ROUND($B25*H$6/2.5,0)*2.5</f>
        <v>20</v>
      </c>
      <c r="I25" s="31" t="n">
        <f aca="false">ROUND($B25*I$6/2.5,0)*2.5</f>
        <v>22.5</v>
      </c>
      <c r="J25" s="31" t="n">
        <f aca="false">ROUND($B25*J$6/2.5,0)*2.5</f>
        <v>22.5</v>
      </c>
      <c r="K25" s="32" t="n">
        <f aca="false">ROUND($B25*K$6/2.5,0)*2.5</f>
        <v>20</v>
      </c>
      <c r="L25" s="33" t="n">
        <f aca="false">ROUND($B25*L$6/2.5,0)*2.5</f>
        <v>22.5</v>
      </c>
      <c r="M25" s="33" t="n">
        <f aca="false">ROUND($B25*M$6/2.5,0)*2.5</f>
        <v>25</v>
      </c>
      <c r="N25" s="33" t="n">
        <f aca="false">ROUND($B25*N$6/2.5,0)*2.5</f>
        <v>25</v>
      </c>
      <c r="O25" s="34" t="s">
        <v>382</v>
      </c>
    </row>
    <row r="26" customFormat="false" ht="15" hidden="false" customHeight="false" outlineLevel="0" collapsed="false">
      <c r="A26" s="14" t="s">
        <v>158</v>
      </c>
      <c r="B26" s="30" t="n">
        <v>12.5</v>
      </c>
      <c r="C26" s="31" t="n">
        <f aca="false">ROUND($B26*C$6/2.5,0)*2.5</f>
        <v>7.5</v>
      </c>
      <c r="D26" s="31" t="n">
        <f aca="false">ROUND($B26*D$6/2.5,0)*2.5</f>
        <v>7.5</v>
      </c>
      <c r="E26" s="31" t="n">
        <f aca="false">ROUND($B26*E$6/2.5,0)*2.5</f>
        <v>10</v>
      </c>
      <c r="F26" s="31" t="n">
        <f aca="false">ROUND($B26*F$6/2.5,0)*2.5</f>
        <v>10</v>
      </c>
      <c r="G26" s="31" t="n">
        <f aca="false">ROUND($B26*G$6/2.5,0)*2.5</f>
        <v>10</v>
      </c>
      <c r="H26" s="31" t="n">
        <f aca="false">ROUND($B26*H$6/2.5,0)*2.5</f>
        <v>12.5</v>
      </c>
      <c r="I26" s="31" t="n">
        <f aca="false">ROUND($B26*I$6/2.5,0)*2.5</f>
        <v>12.5</v>
      </c>
      <c r="J26" s="31" t="n">
        <f aca="false">ROUND($B26*J$6/2.5,0)*2.5</f>
        <v>12.5</v>
      </c>
      <c r="K26" s="32" t="n">
        <f aca="false">ROUND($B26*K$6/2.5,0)*2.5</f>
        <v>10</v>
      </c>
      <c r="L26" s="33" t="n">
        <f aca="false">ROUND($B26*L$6/2.5,0)*2.5</f>
        <v>12.5</v>
      </c>
      <c r="M26" s="33" t="n">
        <f aca="false">ROUND($B26*M$6/2.5,0)*2.5</f>
        <v>12.5</v>
      </c>
      <c r="N26" s="33" t="n">
        <f aca="false">ROUND($B26*N$6/2.5,0)*2.5</f>
        <v>15</v>
      </c>
      <c r="O26" s="25" t="s">
        <v>383</v>
      </c>
    </row>
    <row r="27" customFormat="false" ht="15" hidden="false" customHeight="false" outlineLevel="0" collapsed="false">
      <c r="A27" s="14" t="s">
        <v>165</v>
      </c>
      <c r="B27" s="30" t="n">
        <v>31.5</v>
      </c>
      <c r="C27" s="31" t="n">
        <f aca="false">ROUND($B27*C$6/2.5,0)*2.5</f>
        <v>20</v>
      </c>
      <c r="D27" s="31" t="n">
        <f aca="false">ROUND($B27*D$6/2.5,0)*2.5</f>
        <v>22.5</v>
      </c>
      <c r="E27" s="31" t="n">
        <f aca="false">ROUND($B27*E$6/2.5,0)*2.5</f>
        <v>22.5</v>
      </c>
      <c r="F27" s="31" t="n">
        <f aca="false">ROUND($B27*F$6/2.5,0)*2.5</f>
        <v>25</v>
      </c>
      <c r="G27" s="31" t="n">
        <f aca="false">ROUND($B27*G$6/2.5,0)*2.5</f>
        <v>27.5</v>
      </c>
      <c r="H27" s="31" t="n">
        <f aca="false">ROUND($B27*H$6/2.5,0)*2.5</f>
        <v>27.5</v>
      </c>
      <c r="I27" s="31" t="n">
        <f aca="false">ROUND($B27*I$6/2.5,0)*2.5</f>
        <v>30</v>
      </c>
      <c r="J27" s="31" t="n">
        <f aca="false">ROUND($B27*J$6/2.5,0)*2.5</f>
        <v>32.5</v>
      </c>
      <c r="K27" s="32" t="n">
        <f aca="false">ROUND($B27*K$6/2.5,0)*2.5</f>
        <v>27.5</v>
      </c>
      <c r="L27" s="33" t="n">
        <f aca="false">ROUND($B27*L$6/2.5,0)*2.5</f>
        <v>32.5</v>
      </c>
      <c r="M27" s="33" t="n">
        <f aca="false">ROUND($B27*M$6/2.5,0)*2.5</f>
        <v>32.5</v>
      </c>
      <c r="N27" s="33" t="n">
        <f aca="false">ROUND($B27*N$6/2.5,0)*2.5</f>
        <v>35</v>
      </c>
      <c r="O27" s="25" t="s">
        <v>384</v>
      </c>
    </row>
    <row r="28" customFormat="false" ht="15" hidden="false" customHeight="false" outlineLevel="0" collapsed="false">
      <c r="A28" s="14" t="s">
        <v>274</v>
      </c>
      <c r="B28" s="30" t="n">
        <v>25</v>
      </c>
      <c r="C28" s="31" t="n">
        <f aca="false">ROUND($B28*C$6/2.5,0)*2.5</f>
        <v>15</v>
      </c>
      <c r="D28" s="31" t="n">
        <f aca="false">ROUND($B28*D$6/2.5,0)*2.5</f>
        <v>17.5</v>
      </c>
      <c r="E28" s="31" t="n">
        <f aca="false">ROUND($B28*E$6/2.5,0)*2.5</f>
        <v>20</v>
      </c>
      <c r="F28" s="31" t="n">
        <f aca="false">ROUND($B28*F$6/2.5,0)*2.5</f>
        <v>20</v>
      </c>
      <c r="G28" s="31" t="n">
        <f aca="false">ROUND($B28*G$6/2.5,0)*2.5</f>
        <v>22.5</v>
      </c>
      <c r="H28" s="31" t="n">
        <f aca="false">ROUND($B28*H$6/2.5,0)*2.5</f>
        <v>22.5</v>
      </c>
      <c r="I28" s="31" t="n">
        <f aca="false">ROUND($B28*I$6/2.5,0)*2.5</f>
        <v>25</v>
      </c>
      <c r="J28" s="31" t="n">
        <f aca="false">ROUND($B28*J$6/2.5,0)*2.5</f>
        <v>25</v>
      </c>
      <c r="K28" s="32" t="n">
        <f aca="false">ROUND($B28*K$6/2.5,0)*2.5</f>
        <v>22.5</v>
      </c>
      <c r="L28" s="33" t="n">
        <f aca="false">ROUND($B28*L$6/2.5,0)*2.5</f>
        <v>25</v>
      </c>
      <c r="M28" s="33" t="n">
        <f aca="false">ROUND($B28*M$6/2.5,0)*2.5</f>
        <v>27.5</v>
      </c>
      <c r="N28" s="33" t="n">
        <f aca="false">ROUND($B28*N$6/2.5,0)*2.5</f>
        <v>27.5</v>
      </c>
      <c r="O28" s="34" t="s">
        <v>385</v>
      </c>
    </row>
    <row r="29" customFormat="false" ht="15" hidden="false" customHeight="false" outlineLevel="0" collapsed="false">
      <c r="A29" s="14" t="s">
        <v>263</v>
      </c>
      <c r="B29" s="30" t="n">
        <v>12.5</v>
      </c>
      <c r="C29" s="31" t="n">
        <f aca="false">ROUND($B29*C$6/2.5,0)*2.5</f>
        <v>7.5</v>
      </c>
      <c r="D29" s="31" t="n">
        <f aca="false">ROUND($B29*D$6/2.5,0)*2.5</f>
        <v>7.5</v>
      </c>
      <c r="E29" s="31" t="n">
        <f aca="false">ROUND($B29*E$6/2.5,0)*2.5</f>
        <v>10</v>
      </c>
      <c r="F29" s="31" t="n">
        <f aca="false">ROUND($B29*F$6/2.5,0)*2.5</f>
        <v>10</v>
      </c>
      <c r="G29" s="31" t="n">
        <f aca="false">ROUND($B29*G$6/2.5,0)*2.5</f>
        <v>10</v>
      </c>
      <c r="H29" s="31" t="n">
        <f aca="false">ROUND($B29*H$6/2.5,0)*2.5</f>
        <v>12.5</v>
      </c>
      <c r="I29" s="31" t="n">
        <f aca="false">ROUND($B29*I$6/2.5,0)*2.5</f>
        <v>12.5</v>
      </c>
      <c r="J29" s="31" t="n">
        <f aca="false">ROUND($B29*J$6/2.5,0)*2.5</f>
        <v>12.5</v>
      </c>
      <c r="K29" s="32" t="n">
        <f aca="false">ROUND($B29*K$6/2.5,0)*2.5</f>
        <v>10</v>
      </c>
      <c r="L29" s="33" t="n">
        <f aca="false">ROUND($B29*L$6/2.5,0)*2.5</f>
        <v>12.5</v>
      </c>
      <c r="M29" s="33" t="n">
        <f aca="false">ROUND($B29*M$6/2.5,0)*2.5</f>
        <v>12.5</v>
      </c>
      <c r="N29" s="33" t="n">
        <f aca="false">ROUND($B29*N$6/2.5,0)*2.5</f>
        <v>15</v>
      </c>
      <c r="O29" s="34" t="s">
        <v>386</v>
      </c>
    </row>
    <row r="30" customFormat="false" ht="15" hidden="false" customHeight="false" outlineLevel="0" collapsed="false">
      <c r="A30" s="14" t="s">
        <v>268</v>
      </c>
      <c r="B30" s="30" t="n">
        <v>15</v>
      </c>
      <c r="C30" s="31" t="n">
        <f aca="false">ROUND($B30*C$6/2.5,0)*2.5</f>
        <v>10</v>
      </c>
      <c r="D30" s="31" t="n">
        <f aca="false">ROUND($B30*D$6/2.5,0)*2.5</f>
        <v>10</v>
      </c>
      <c r="E30" s="31" t="n">
        <f aca="false">ROUND($B30*E$6/2.5,0)*2.5</f>
        <v>12.5</v>
      </c>
      <c r="F30" s="31" t="n">
        <f aca="false">ROUND($B30*F$6/2.5,0)*2.5</f>
        <v>12.5</v>
      </c>
      <c r="G30" s="31" t="n">
        <f aca="false">ROUND($B30*G$6/2.5,0)*2.5</f>
        <v>12.5</v>
      </c>
      <c r="H30" s="31" t="n">
        <f aca="false">ROUND($B30*H$6/2.5,0)*2.5</f>
        <v>12.5</v>
      </c>
      <c r="I30" s="31" t="n">
        <f aca="false">ROUND($B30*I$6/2.5,0)*2.5</f>
        <v>15</v>
      </c>
      <c r="J30" s="31" t="n">
        <f aca="false">ROUND($B30*J$6/2.5,0)*2.5</f>
        <v>15</v>
      </c>
      <c r="K30" s="32" t="n">
        <f aca="false">ROUND($B30*K$6/2.5,0)*2.5</f>
        <v>12.5</v>
      </c>
      <c r="L30" s="33" t="n">
        <f aca="false">ROUND($B30*L$6/2.5,0)*2.5</f>
        <v>15</v>
      </c>
      <c r="M30" s="33" t="n">
        <f aca="false">ROUND($B30*M$6/2.5,0)*2.5</f>
        <v>15</v>
      </c>
      <c r="N30" s="33" t="n">
        <f aca="false">ROUND($B30*N$6/2.5,0)*2.5</f>
        <v>17.5</v>
      </c>
      <c r="O30" s="34" t="s">
        <v>387</v>
      </c>
    </row>
    <row r="32" customFormat="false" ht="18" hidden="false" customHeight="true" outlineLevel="0" collapsed="false">
      <c r="A32" s="2" t="s">
        <v>388</v>
      </c>
      <c r="B32" s="2"/>
      <c r="C32" s="2"/>
      <c r="D32" s="2"/>
      <c r="E32" s="2"/>
      <c r="F32" s="2"/>
      <c r="G32" s="2"/>
      <c r="H32" s="2"/>
      <c r="I32" s="2"/>
      <c r="J32" s="2"/>
      <c r="K32" s="2"/>
      <c r="L32" s="2"/>
      <c r="M32" s="2"/>
      <c r="N32" s="2"/>
      <c r="O32" s="2"/>
    </row>
    <row r="33" customFormat="false" ht="33.75" hidden="false" customHeight="true" outlineLevel="0" collapsed="false">
      <c r="A33" s="14" t="s">
        <v>389</v>
      </c>
      <c r="B33" s="4" t="s">
        <v>390</v>
      </c>
      <c r="C33" s="4"/>
      <c r="D33" s="4"/>
      <c r="E33" s="4"/>
      <c r="F33" s="4"/>
      <c r="G33" s="4"/>
      <c r="H33" s="4"/>
      <c r="I33" s="4"/>
      <c r="J33" s="4"/>
      <c r="K33" s="4"/>
      <c r="L33" s="4"/>
      <c r="M33" s="4"/>
      <c r="N33" s="4"/>
      <c r="O33" s="4"/>
    </row>
    <row r="34" customFormat="false" ht="33.75" hidden="false" customHeight="true" outlineLevel="0" collapsed="false">
      <c r="A34" s="14" t="s">
        <v>391</v>
      </c>
      <c r="B34" s="4" t="s">
        <v>392</v>
      </c>
      <c r="C34" s="4"/>
      <c r="D34" s="4"/>
      <c r="E34" s="4"/>
      <c r="F34" s="4"/>
      <c r="G34" s="4"/>
      <c r="H34" s="4"/>
      <c r="I34" s="4"/>
      <c r="J34" s="4"/>
      <c r="K34" s="4"/>
      <c r="L34" s="4"/>
      <c r="M34" s="4"/>
      <c r="N34" s="4"/>
      <c r="O34" s="4"/>
    </row>
    <row r="35" customFormat="false" ht="33.75" hidden="false" customHeight="true" outlineLevel="0" collapsed="false">
      <c r="A35" s="14" t="s">
        <v>393</v>
      </c>
      <c r="B35" s="4" t="s">
        <v>394</v>
      </c>
      <c r="C35" s="4"/>
      <c r="D35" s="4"/>
      <c r="E35" s="4"/>
      <c r="F35" s="4"/>
      <c r="G35" s="4"/>
      <c r="H35" s="4"/>
      <c r="I35" s="4"/>
      <c r="J35" s="4"/>
      <c r="K35" s="4"/>
      <c r="L35" s="4"/>
      <c r="M35" s="4"/>
      <c r="N35" s="4"/>
      <c r="O35" s="4"/>
    </row>
    <row r="36" customFormat="false" ht="33.75" hidden="false" customHeight="true" outlineLevel="0" collapsed="false">
      <c r="A36" s="14" t="s">
        <v>395</v>
      </c>
      <c r="B36" s="4" t="s">
        <v>396</v>
      </c>
      <c r="C36" s="4"/>
      <c r="D36" s="4"/>
      <c r="E36" s="4"/>
      <c r="F36" s="4"/>
      <c r="G36" s="4"/>
      <c r="H36" s="4"/>
      <c r="I36" s="4"/>
      <c r="J36" s="4"/>
      <c r="K36" s="4"/>
      <c r="L36" s="4"/>
      <c r="M36" s="4"/>
      <c r="N36" s="4"/>
      <c r="O36" s="4"/>
    </row>
    <row r="38" customFormat="false" ht="39.75" hidden="false" customHeight="true" outlineLevel="0" collapsed="false">
      <c r="A38" s="21" t="s">
        <v>397</v>
      </c>
      <c r="B38" s="21"/>
      <c r="C38" s="21"/>
      <c r="D38" s="21"/>
      <c r="E38" s="21"/>
      <c r="F38" s="21"/>
      <c r="G38" s="21"/>
      <c r="H38" s="21"/>
      <c r="I38" s="21"/>
      <c r="J38" s="21"/>
      <c r="K38" s="21"/>
      <c r="L38" s="21"/>
      <c r="M38" s="21"/>
      <c r="N38" s="21"/>
      <c r="O38" s="21"/>
    </row>
  </sheetData>
  <mergeCells count="8">
    <mergeCell ref="A1:O1"/>
    <mergeCell ref="A3:O3"/>
    <mergeCell ref="A32:O32"/>
    <mergeCell ref="B33:O33"/>
    <mergeCell ref="B34:O34"/>
    <mergeCell ref="B35:O35"/>
    <mergeCell ref="B36:O36"/>
    <mergeCell ref="A38:O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12"/>
    <col collapsed="false" customWidth="true" hidden="false" outlineLevel="0" max="4" min="4" style="0" width="56"/>
    <col collapsed="false" customWidth="true" hidden="false" outlineLevel="0" max="5" min="5" style="0" width="30"/>
  </cols>
  <sheetData>
    <row r="1" customFormat="false" ht="24" hidden="false" customHeight="true" outlineLevel="0" collapsed="false">
      <c r="A1" s="1" t="s">
        <v>398</v>
      </c>
      <c r="B1" s="1"/>
      <c r="C1" s="1"/>
      <c r="D1" s="1"/>
      <c r="E1" s="1"/>
    </row>
    <row r="3" customFormat="false" ht="18" hidden="false" customHeight="true" outlineLevel="0" collapsed="false">
      <c r="A3" s="2" t="s">
        <v>399</v>
      </c>
      <c r="B3" s="2"/>
      <c r="C3" s="2"/>
      <c r="D3" s="2"/>
      <c r="E3" s="2"/>
    </row>
    <row r="4" customFormat="false" ht="21.75" hidden="false" customHeight="true" outlineLevel="0" collapsed="false">
      <c r="A4" s="5" t="s">
        <v>400</v>
      </c>
      <c r="B4" s="37" t="n">
        <v>175</v>
      </c>
      <c r="D4" s="25" t="s">
        <v>401</v>
      </c>
    </row>
    <row r="5" customFormat="false" ht="21.75" hidden="false" customHeight="true" outlineLevel="0" collapsed="false">
      <c r="A5" s="5" t="s">
        <v>402</v>
      </c>
      <c r="B5" s="37" t="n">
        <v>79</v>
      </c>
      <c r="D5" s="25" t="s">
        <v>403</v>
      </c>
    </row>
    <row r="6" customFormat="false" ht="21.75" hidden="false" customHeight="true" outlineLevel="0" collapsed="false">
      <c r="A6" s="5" t="s">
        <v>404</v>
      </c>
      <c r="B6" s="37" t="n">
        <v>28</v>
      </c>
      <c r="D6" s="25" t="s">
        <v>405</v>
      </c>
    </row>
    <row r="7" customFormat="false" ht="21.75" hidden="false" customHeight="true" outlineLevel="0" collapsed="false">
      <c r="A7" s="5" t="s">
        <v>406</v>
      </c>
      <c r="B7" s="37" t="n">
        <v>76</v>
      </c>
      <c r="D7" s="25" t="s">
        <v>407</v>
      </c>
    </row>
    <row r="8" customFormat="false" ht="21.75" hidden="false" customHeight="true" outlineLevel="0" collapsed="false">
      <c r="A8" s="5" t="s">
        <v>408</v>
      </c>
      <c r="B8" s="38" t="n">
        <v>1.5</v>
      </c>
      <c r="D8" s="25" t="s">
        <v>409</v>
      </c>
    </row>
    <row r="9" customFormat="false" ht="21.75" hidden="false" customHeight="true" outlineLevel="0" collapsed="false">
      <c r="A9" s="5" t="s">
        <v>410</v>
      </c>
      <c r="B9" s="37" t="n">
        <v>450</v>
      </c>
      <c r="D9" s="25" t="s">
        <v>411</v>
      </c>
    </row>
    <row r="10" customFormat="false" ht="21.75" hidden="false" customHeight="true" outlineLevel="0" collapsed="false">
      <c r="A10" s="5" t="s">
        <v>412</v>
      </c>
      <c r="B10" s="39" t="n">
        <v>2</v>
      </c>
      <c r="D10" s="25" t="s">
        <v>413</v>
      </c>
    </row>
    <row r="11" customFormat="false" ht="21.75" hidden="false" customHeight="true" outlineLevel="0" collapsed="false">
      <c r="A11" s="5" t="s">
        <v>414</v>
      </c>
      <c r="B11" s="39" t="n">
        <v>0.8</v>
      </c>
      <c r="D11" s="25" t="s">
        <v>415</v>
      </c>
    </row>
    <row r="12" customFormat="false" ht="21.75" hidden="false" customHeight="true" outlineLevel="0" collapsed="false">
      <c r="A12" s="5" t="s">
        <v>416</v>
      </c>
      <c r="B12" s="37" t="n">
        <v>2000</v>
      </c>
      <c r="D12" s="25" t="s">
        <v>417</v>
      </c>
    </row>
    <row r="14" customFormat="false" ht="18" hidden="false" customHeight="true" outlineLevel="0" collapsed="false">
      <c r="A14" s="2" t="s">
        <v>418</v>
      </c>
      <c r="B14" s="2"/>
      <c r="C14" s="2"/>
      <c r="D14" s="2"/>
      <c r="E14" s="2"/>
    </row>
    <row r="15" customFormat="false" ht="24" hidden="false" customHeight="true" outlineLevel="0" collapsed="false">
      <c r="A15" s="5" t="s">
        <v>419</v>
      </c>
      <c r="B15" s="40" t="n">
        <f aca="false">10*B5+6.25*B4-5*B6+5</f>
        <v>1748.75</v>
      </c>
      <c r="C15" s="22" t="s">
        <v>420</v>
      </c>
      <c r="D15" s="25" t="s">
        <v>421</v>
      </c>
    </row>
    <row r="16" customFormat="false" ht="24" hidden="false" customHeight="true" outlineLevel="0" collapsed="false">
      <c r="A16" s="5" t="s">
        <v>422</v>
      </c>
      <c r="B16" s="40" t="n">
        <f aca="false">B15*B8</f>
        <v>2623.125</v>
      </c>
      <c r="C16" s="22" t="s">
        <v>420</v>
      </c>
      <c r="D16" s="25" t="s">
        <v>423</v>
      </c>
    </row>
    <row r="17" customFormat="false" ht="24" hidden="false" customHeight="true" outlineLevel="0" collapsed="false">
      <c r="A17" s="41" t="s">
        <v>424</v>
      </c>
      <c r="B17" s="42" t="n">
        <f aca="false">B16-B9</f>
        <v>2173.125</v>
      </c>
      <c r="C17" s="35" t="s">
        <v>420</v>
      </c>
      <c r="D17" s="25" t="s">
        <v>425</v>
      </c>
    </row>
    <row r="18" customFormat="false" ht="24" hidden="false" customHeight="true" outlineLevel="0" collapsed="false">
      <c r="A18" s="6" t="s">
        <v>426</v>
      </c>
      <c r="B18" s="43" t="n">
        <f aca="false">B5*B10</f>
        <v>158</v>
      </c>
      <c r="C18" s="36" t="s">
        <v>427</v>
      </c>
      <c r="D18" s="25" t="s">
        <v>428</v>
      </c>
    </row>
    <row r="19" customFormat="false" ht="24" hidden="false" customHeight="true" outlineLevel="0" collapsed="false">
      <c r="A19" s="5" t="s">
        <v>429</v>
      </c>
      <c r="B19" s="40" t="n">
        <f aca="false">B5*B11</f>
        <v>63.2</v>
      </c>
      <c r="C19" s="22" t="s">
        <v>427</v>
      </c>
      <c r="D19" s="25" t="s">
        <v>430</v>
      </c>
    </row>
    <row r="20" customFormat="false" ht="24" hidden="false" customHeight="true" outlineLevel="0" collapsed="false">
      <c r="A20" s="5" t="s">
        <v>431</v>
      </c>
      <c r="B20" s="40" t="n">
        <f aca="false">(B17-B18*4-B19*9)/4</f>
        <v>243.08125</v>
      </c>
      <c r="C20" s="22" t="s">
        <v>427</v>
      </c>
      <c r="D20" s="25" t="s">
        <v>432</v>
      </c>
    </row>
    <row r="21" customFormat="false" ht="24" hidden="false" customHeight="true" outlineLevel="0" collapsed="false">
      <c r="A21" s="5" t="s">
        <v>433</v>
      </c>
      <c r="B21" s="40" t="n">
        <f aca="false">B17/1000*14</f>
        <v>30.42375</v>
      </c>
      <c r="C21" s="22" t="s">
        <v>427</v>
      </c>
      <c r="D21" s="25" t="s">
        <v>434</v>
      </c>
    </row>
    <row r="22" customFormat="false" ht="24" hidden="false" customHeight="true" outlineLevel="0" collapsed="false">
      <c r="A22" s="5" t="s">
        <v>435</v>
      </c>
      <c r="B22" s="44" t="n">
        <f aca="false">ROUND(B5*0.035,1)</f>
        <v>2.8</v>
      </c>
      <c r="C22" s="22" t="s">
        <v>436</v>
      </c>
      <c r="D22" s="25" t="s">
        <v>437</v>
      </c>
    </row>
    <row r="24" customFormat="false" ht="18" hidden="false" customHeight="true" outlineLevel="0" collapsed="false">
      <c r="A24" s="2" t="s">
        <v>438</v>
      </c>
      <c r="B24" s="2"/>
      <c r="C24" s="2"/>
      <c r="D24" s="2"/>
      <c r="E24" s="2"/>
    </row>
    <row r="25" customFormat="false" ht="15" hidden="false" customHeight="false" outlineLevel="0" collapsed="false">
      <c r="A25" s="5" t="s">
        <v>439</v>
      </c>
      <c r="B25" s="45" t="n">
        <f aca="false">B18*4/B17</f>
        <v>0.290825424216278</v>
      </c>
      <c r="C25" s="27"/>
      <c r="D25" s="25" t="s">
        <v>440</v>
      </c>
    </row>
    <row r="26" customFormat="false" ht="15" hidden="false" customHeight="false" outlineLevel="0" collapsed="false">
      <c r="A26" s="5" t="s">
        <v>441</v>
      </c>
      <c r="B26" s="45" t="n">
        <f aca="false">B19*9/B17</f>
        <v>0.261742881794651</v>
      </c>
      <c r="C26" s="27"/>
      <c r="D26" s="25" t="s">
        <v>442</v>
      </c>
    </row>
    <row r="27" customFormat="false" ht="15" hidden="false" customHeight="false" outlineLevel="0" collapsed="false">
      <c r="A27" s="5" t="s">
        <v>443</v>
      </c>
      <c r="B27" s="45" t="n">
        <f aca="false">B20*4/B17</f>
        <v>0.447431693989071</v>
      </c>
      <c r="C27" s="27"/>
      <c r="D27" s="25" t="s">
        <v>444</v>
      </c>
    </row>
    <row r="29" customFormat="false" ht="18" hidden="false" customHeight="true" outlineLevel="0" collapsed="false">
      <c r="A29" s="2" t="s">
        <v>445</v>
      </c>
      <c r="B29" s="2"/>
      <c r="C29" s="2"/>
      <c r="D29" s="2"/>
      <c r="E29" s="2"/>
    </row>
    <row r="30" customFormat="false" ht="61.5" hidden="false" customHeight="true" outlineLevel="0" collapsed="false">
      <c r="A30" s="12" t="s">
        <v>446</v>
      </c>
      <c r="B30" s="12"/>
      <c r="C30" s="12"/>
      <c r="D30" s="12"/>
      <c r="E30" s="12"/>
    </row>
    <row r="32" customFormat="false" ht="21.75" hidden="false" customHeight="true" outlineLevel="0" collapsed="false">
      <c r="A32" s="5" t="s">
        <v>447</v>
      </c>
      <c r="B32" s="40" t="n">
        <f aca="false">B17*7</f>
        <v>15211.875</v>
      </c>
      <c r="C32" s="22" t="s">
        <v>420</v>
      </c>
      <c r="D32" s="25" t="s">
        <v>448</v>
      </c>
    </row>
    <row r="33" customFormat="false" ht="21.75" hidden="false" customHeight="true" outlineLevel="0" collapsed="false">
      <c r="A33" s="5" t="s">
        <v>449</v>
      </c>
      <c r="B33" s="40" t="n">
        <f aca="false">B12*5</f>
        <v>10000</v>
      </c>
      <c r="C33" s="22" t="s">
        <v>420</v>
      </c>
      <c r="D33" s="25" t="s">
        <v>450</v>
      </c>
    </row>
    <row r="34" customFormat="false" ht="21.75" hidden="false" customHeight="true" outlineLevel="0" collapsed="false">
      <c r="A34" s="5" t="s">
        <v>451</v>
      </c>
      <c r="B34" s="40" t="n">
        <f aca="false">B32-B33</f>
        <v>5211.875</v>
      </c>
      <c r="C34" s="22" t="s">
        <v>420</v>
      </c>
      <c r="D34" s="25" t="s">
        <v>452</v>
      </c>
    </row>
    <row r="35" customFormat="false" ht="21.75" hidden="false" customHeight="true" outlineLevel="0" collapsed="false">
      <c r="A35" s="5" t="s">
        <v>453</v>
      </c>
      <c r="B35" s="40" t="n">
        <f aca="false">B34/2</f>
        <v>2605.9375</v>
      </c>
      <c r="C35" s="22" t="s">
        <v>420</v>
      </c>
      <c r="D35" s="25" t="s">
        <v>454</v>
      </c>
    </row>
    <row r="36" customFormat="false" ht="21.75" hidden="false" customHeight="true" outlineLevel="0" collapsed="false">
      <c r="A36" s="6" t="s">
        <v>455</v>
      </c>
      <c r="B36" s="43" t="n">
        <f aca="false">B35-B17</f>
        <v>432.8125</v>
      </c>
      <c r="C36" s="36" t="s">
        <v>420</v>
      </c>
      <c r="D36" s="25" t="s">
        <v>456</v>
      </c>
    </row>
    <row r="38" customFormat="false" ht="43.5" hidden="false" customHeight="true" outlineLevel="0" collapsed="false">
      <c r="A38" s="21" t="s">
        <v>457</v>
      </c>
      <c r="B38" s="21"/>
      <c r="C38" s="21"/>
      <c r="D38" s="21"/>
      <c r="E38" s="21"/>
    </row>
    <row r="40" customFormat="false" ht="18" hidden="false" customHeight="true" outlineLevel="0" collapsed="false">
      <c r="A40" s="2" t="s">
        <v>458</v>
      </c>
      <c r="B40" s="2"/>
      <c r="C40" s="2"/>
      <c r="D40" s="2"/>
      <c r="E40" s="2"/>
    </row>
    <row r="41" customFormat="false" ht="22.35" hidden="false" customHeight="false" outlineLevel="0" collapsed="false">
      <c r="A41" s="5" t="s">
        <v>459</v>
      </c>
      <c r="B41" s="46" t="n">
        <f aca="false">B9*7/7700</f>
        <v>0.409090909090909</v>
      </c>
      <c r="C41" s="22" t="s">
        <v>460</v>
      </c>
      <c r="D41" s="25" t="s">
        <v>461</v>
      </c>
    </row>
    <row r="42" customFormat="false" ht="15" hidden="false" customHeight="false" outlineLevel="0" collapsed="false">
      <c r="A42" s="5" t="s">
        <v>462</v>
      </c>
      <c r="B42" s="44" t="n">
        <f aca="false">B5-B7</f>
        <v>3</v>
      </c>
      <c r="C42" s="22" t="s">
        <v>463</v>
      </c>
      <c r="D42" s="25"/>
    </row>
    <row r="43" customFormat="false" ht="15" hidden="false" customHeight="false" outlineLevel="0" collapsed="false">
      <c r="A43" s="5" t="s">
        <v>464</v>
      </c>
      <c r="B43" s="44" t="n">
        <f aca="false">B42/B41</f>
        <v>7.33333333333333</v>
      </c>
      <c r="C43" s="22" t="s">
        <v>465</v>
      </c>
      <c r="D43" s="25" t="s">
        <v>466</v>
      </c>
    </row>
    <row r="44" customFormat="false" ht="15" hidden="false" customHeight="false" outlineLevel="0" collapsed="false">
      <c r="A44" s="41" t="s">
        <v>467</v>
      </c>
      <c r="B44" s="47" t="n">
        <f aca="false">B43/0.8</f>
        <v>9.16666666666667</v>
      </c>
      <c r="C44" s="35" t="s">
        <v>465</v>
      </c>
      <c r="D44" s="25" t="s">
        <v>468</v>
      </c>
    </row>
    <row r="46" customFormat="false" ht="78" hidden="false" customHeight="true" outlineLevel="0" collapsed="false">
      <c r="A46" s="12" t="s">
        <v>469</v>
      </c>
      <c r="B46" s="12"/>
      <c r="C46" s="12"/>
      <c r="D46" s="12"/>
      <c r="E46" s="12"/>
    </row>
    <row r="48" customFormat="false" ht="18" hidden="false" customHeight="true" outlineLevel="0" collapsed="false">
      <c r="A48" s="2" t="s">
        <v>470</v>
      </c>
      <c r="B48" s="2"/>
      <c r="C48" s="2"/>
      <c r="D48" s="2"/>
      <c r="E48" s="2"/>
    </row>
    <row r="49" customFormat="false" ht="30" hidden="false" customHeight="true" outlineLevel="0" collapsed="false">
      <c r="A49" s="13" t="s">
        <v>471</v>
      </c>
      <c r="B49" s="13" t="s">
        <v>420</v>
      </c>
      <c r="C49" s="13" t="s">
        <v>426</v>
      </c>
      <c r="D49" s="13" t="s">
        <v>472</v>
      </c>
      <c r="E49" s="13" t="s">
        <v>473</v>
      </c>
    </row>
    <row r="50" customFormat="false" ht="39.75" hidden="false" customHeight="true" outlineLevel="0" collapsed="false">
      <c r="A50" s="14" t="s">
        <v>474</v>
      </c>
      <c r="B50" s="22" t="n">
        <v>450</v>
      </c>
      <c r="C50" s="22" t="n">
        <v>40</v>
      </c>
      <c r="D50" s="25" t="s">
        <v>475</v>
      </c>
      <c r="E50" s="25" t="s">
        <v>476</v>
      </c>
    </row>
    <row r="51" customFormat="false" ht="39.75" hidden="false" customHeight="true" outlineLevel="0" collapsed="false">
      <c r="A51" s="14" t="s">
        <v>477</v>
      </c>
      <c r="B51" s="22" t="n">
        <v>600</v>
      </c>
      <c r="C51" s="22" t="n">
        <v>45</v>
      </c>
      <c r="D51" s="25" t="s">
        <v>478</v>
      </c>
      <c r="E51" s="25" t="s">
        <v>479</v>
      </c>
    </row>
    <row r="52" customFormat="false" ht="39.75" hidden="false" customHeight="true" outlineLevel="0" collapsed="false">
      <c r="A52" s="14" t="s">
        <v>480</v>
      </c>
      <c r="B52" s="22" t="n">
        <v>250</v>
      </c>
      <c r="C52" s="22" t="n">
        <v>20</v>
      </c>
      <c r="D52" s="25" t="s">
        <v>481</v>
      </c>
      <c r="E52" s="25" t="s">
        <v>482</v>
      </c>
    </row>
    <row r="53" customFormat="false" ht="39.75" hidden="false" customHeight="true" outlineLevel="0" collapsed="false">
      <c r="A53" s="14" t="s">
        <v>483</v>
      </c>
      <c r="B53" s="22" t="n">
        <v>700</v>
      </c>
      <c r="C53" s="22" t="n">
        <v>50</v>
      </c>
      <c r="D53" s="25" t="s">
        <v>484</v>
      </c>
      <c r="E53" s="25" t="s">
        <v>485</v>
      </c>
    </row>
    <row r="54" customFormat="false" ht="39.75" hidden="false" customHeight="true" outlineLevel="0" collapsed="false">
      <c r="A54" s="14" t="s">
        <v>486</v>
      </c>
      <c r="B54" s="22" t="n">
        <v>200</v>
      </c>
      <c r="C54" s="22" t="n">
        <v>25</v>
      </c>
      <c r="D54" s="25" t="s">
        <v>487</v>
      </c>
      <c r="E54" s="25" t="s">
        <v>488</v>
      </c>
    </row>
    <row r="55" customFormat="false" ht="15" hidden="false" customHeight="false" outlineLevel="0" collapsed="false">
      <c r="A55" s="3" t="s">
        <v>489</v>
      </c>
      <c r="B55" s="19" t="n">
        <f aca="false">SUM(B50:B54)</f>
        <v>2200</v>
      </c>
      <c r="C55" s="19" t="n">
        <f aca="false">SUM(C50:C54)</f>
        <v>180</v>
      </c>
      <c r="D55" s="48" t="str">
        <f aca="false">"vs target: "&amp;TEXT($B$17,"#,##0")&amp;" kcal / "&amp;TEXT($B$18,"#,##0")&amp;" g protein"</f>
        <v>vs target: 2,173 kcal / 158 g protein</v>
      </c>
      <c r="E55" s="27"/>
    </row>
  </sheetData>
  <mergeCells count="10">
    <mergeCell ref="A1:E1"/>
    <mergeCell ref="A3:E3"/>
    <mergeCell ref="A14:E14"/>
    <mergeCell ref="A24:E24"/>
    <mergeCell ref="A29:E29"/>
    <mergeCell ref="A30:E30"/>
    <mergeCell ref="A38:E38"/>
    <mergeCell ref="A40:E40"/>
    <mergeCell ref="A46:E46"/>
    <mergeCell ref="A48:E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4" min="3" style="0" width="52"/>
  </cols>
  <sheetData>
    <row r="1" customFormat="false" ht="24" hidden="false" customHeight="true" outlineLevel="0" collapsed="false">
      <c r="A1" s="1" t="s">
        <v>490</v>
      </c>
      <c r="B1" s="1"/>
      <c r="C1" s="1"/>
      <c r="D1" s="1"/>
    </row>
    <row r="3" customFormat="false" ht="33.75" hidden="false" customHeight="true" outlineLevel="0" collapsed="false">
      <c r="A3" s="21" t="s">
        <v>491</v>
      </c>
      <c r="B3" s="21"/>
      <c r="C3" s="21"/>
      <c r="D3" s="21"/>
    </row>
    <row r="5" customFormat="false" ht="18" hidden="false" customHeight="true" outlineLevel="0" collapsed="false">
      <c r="A5" s="2" t="s">
        <v>492</v>
      </c>
      <c r="B5" s="2"/>
      <c r="C5" s="2"/>
      <c r="D5" s="2"/>
    </row>
    <row r="6" customFormat="false" ht="30" hidden="false" customHeight="true" outlineLevel="0" collapsed="false">
      <c r="A6" s="13" t="s">
        <v>493</v>
      </c>
      <c r="B6" s="13" t="s">
        <v>494</v>
      </c>
      <c r="C6" s="13" t="s">
        <v>495</v>
      </c>
      <c r="D6" s="13" t="s">
        <v>496</v>
      </c>
    </row>
    <row r="7" customFormat="false" ht="61.5" hidden="false" customHeight="true" outlineLevel="0" collapsed="false">
      <c r="A7" s="49" t="s">
        <v>497</v>
      </c>
      <c r="B7" s="22" t="s">
        <v>498</v>
      </c>
      <c r="C7" s="25" t="s">
        <v>499</v>
      </c>
      <c r="D7" s="25" t="s">
        <v>500</v>
      </c>
    </row>
    <row r="8" customFormat="false" ht="61.5" hidden="false" customHeight="true" outlineLevel="0" collapsed="false">
      <c r="A8" s="49" t="s">
        <v>501</v>
      </c>
      <c r="B8" s="22" t="s">
        <v>502</v>
      </c>
      <c r="C8" s="25" t="s">
        <v>503</v>
      </c>
      <c r="D8" s="25" t="s">
        <v>504</v>
      </c>
    </row>
    <row r="9" customFormat="false" ht="61.5" hidden="false" customHeight="true" outlineLevel="0" collapsed="false">
      <c r="A9" s="49" t="s">
        <v>433</v>
      </c>
      <c r="B9" s="50" t="str">
        <f aca="false">TEXT(Nutrition!B21,"0")&amp;" g"</f>
        <v>30 g</v>
      </c>
      <c r="C9" s="25" t="s">
        <v>505</v>
      </c>
      <c r="D9" s="25" t="s">
        <v>506</v>
      </c>
    </row>
    <row r="10" customFormat="false" ht="61.5" hidden="false" customHeight="true" outlineLevel="0" collapsed="false">
      <c r="A10" s="49" t="s">
        <v>507</v>
      </c>
      <c r="B10" s="22" t="s">
        <v>508</v>
      </c>
      <c r="C10" s="25" t="s">
        <v>509</v>
      </c>
      <c r="D10" s="25" t="s">
        <v>510</v>
      </c>
    </row>
    <row r="11" customFormat="false" ht="61.5" hidden="false" customHeight="true" outlineLevel="0" collapsed="false">
      <c r="A11" s="49" t="s">
        <v>511</v>
      </c>
      <c r="B11" s="22" t="s">
        <v>512</v>
      </c>
      <c r="C11" s="25" t="s">
        <v>513</v>
      </c>
      <c r="D11" s="25" t="s">
        <v>514</v>
      </c>
    </row>
    <row r="12" customFormat="false" ht="61.5" hidden="false" customHeight="true" outlineLevel="0" collapsed="false">
      <c r="A12" s="49" t="s">
        <v>515</v>
      </c>
      <c r="B12" s="22" t="s">
        <v>516</v>
      </c>
      <c r="C12" s="25" t="s">
        <v>517</v>
      </c>
      <c r="D12" s="25" t="s">
        <v>518</v>
      </c>
    </row>
    <row r="13" customFormat="false" ht="61.5" hidden="false" customHeight="true" outlineLevel="0" collapsed="false">
      <c r="A13" s="49" t="s">
        <v>519</v>
      </c>
      <c r="B13" s="22" t="s">
        <v>520</v>
      </c>
      <c r="C13" s="25" t="s">
        <v>521</v>
      </c>
      <c r="D13" s="25" t="s">
        <v>522</v>
      </c>
    </row>
    <row r="14" customFormat="false" ht="61.5" hidden="false" customHeight="true" outlineLevel="0" collapsed="false">
      <c r="A14" s="49" t="s">
        <v>523</v>
      </c>
      <c r="B14" s="22" t="s">
        <v>524</v>
      </c>
      <c r="C14" s="25" t="s">
        <v>525</v>
      </c>
      <c r="D14" s="25" t="s">
        <v>526</v>
      </c>
    </row>
    <row r="15" customFormat="false" ht="61.5" hidden="false" customHeight="true" outlineLevel="0" collapsed="false">
      <c r="A15" s="49" t="s">
        <v>527</v>
      </c>
      <c r="B15" s="22" t="s">
        <v>528</v>
      </c>
      <c r="C15" s="25" t="s">
        <v>529</v>
      </c>
      <c r="D15" s="25" t="s">
        <v>530</v>
      </c>
    </row>
    <row r="16" customFormat="false" ht="61.5" hidden="false" customHeight="true" outlineLevel="0" collapsed="false">
      <c r="A16" s="49" t="s">
        <v>531</v>
      </c>
      <c r="B16" s="22" t="s">
        <v>532</v>
      </c>
      <c r="C16" s="25" t="s">
        <v>533</v>
      </c>
      <c r="D16" s="25" t="s">
        <v>534</v>
      </c>
    </row>
    <row r="17" customFormat="false" ht="61.5" hidden="false" customHeight="true" outlineLevel="0" collapsed="false">
      <c r="A17" s="49" t="s">
        <v>535</v>
      </c>
      <c r="B17" s="22" t="s">
        <v>536</v>
      </c>
      <c r="C17" s="25" t="s">
        <v>537</v>
      </c>
      <c r="D17" s="25" t="s">
        <v>538</v>
      </c>
    </row>
    <row r="18" customFormat="false" ht="61.5" hidden="false" customHeight="true" outlineLevel="0" collapsed="false">
      <c r="A18" s="49" t="s">
        <v>539</v>
      </c>
      <c r="B18" s="22" t="s">
        <v>540</v>
      </c>
      <c r="C18" s="25" t="s">
        <v>541</v>
      </c>
      <c r="D18" s="25" t="s">
        <v>542</v>
      </c>
    </row>
    <row r="20" customFormat="false" ht="18" hidden="false" customHeight="true" outlineLevel="0" collapsed="false">
      <c r="A20" s="2" t="s">
        <v>543</v>
      </c>
      <c r="B20" s="2"/>
      <c r="C20" s="2"/>
      <c r="D20" s="2"/>
    </row>
    <row r="21" customFormat="false" ht="30" hidden="false" customHeight="true" outlineLevel="0" collapsed="false">
      <c r="A21" s="13" t="s">
        <v>544</v>
      </c>
      <c r="B21" s="13" t="s">
        <v>545</v>
      </c>
      <c r="C21" s="13" t="s">
        <v>546</v>
      </c>
      <c r="D21" s="13" t="s">
        <v>46</v>
      </c>
    </row>
    <row r="22" customFormat="false" ht="27.75" hidden="false" customHeight="true" outlineLevel="0" collapsed="false">
      <c r="A22" s="14" t="s">
        <v>547</v>
      </c>
      <c r="B22" s="22" t="n">
        <v>24</v>
      </c>
      <c r="C22" s="22" t="n">
        <v>99</v>
      </c>
      <c r="D22" s="25" t="s">
        <v>548</v>
      </c>
    </row>
    <row r="23" customFormat="false" ht="27.75" hidden="false" customHeight="true" outlineLevel="0" collapsed="false">
      <c r="A23" s="14" t="s">
        <v>549</v>
      </c>
      <c r="B23" s="22" t="n">
        <v>23</v>
      </c>
      <c r="C23" s="22" t="n">
        <v>105</v>
      </c>
      <c r="D23" s="25" t="s">
        <v>550</v>
      </c>
    </row>
    <row r="24" customFormat="false" ht="27.75" hidden="false" customHeight="true" outlineLevel="0" collapsed="false">
      <c r="A24" s="14" t="s">
        <v>551</v>
      </c>
      <c r="B24" s="22" t="n">
        <v>31</v>
      </c>
      <c r="C24" s="22" t="n">
        <v>165</v>
      </c>
      <c r="D24" s="25" t="s">
        <v>552</v>
      </c>
    </row>
    <row r="25" customFormat="false" ht="27.75" hidden="false" customHeight="true" outlineLevel="0" collapsed="false">
      <c r="A25" s="14" t="s">
        <v>553</v>
      </c>
      <c r="B25" s="22" t="n">
        <v>11</v>
      </c>
      <c r="C25" s="22" t="n">
        <v>52</v>
      </c>
      <c r="D25" s="25" t="s">
        <v>554</v>
      </c>
    </row>
    <row r="26" customFormat="false" ht="27.75" hidden="false" customHeight="true" outlineLevel="0" collapsed="false">
      <c r="A26" s="14" t="s">
        <v>555</v>
      </c>
      <c r="B26" s="22" t="n">
        <v>10</v>
      </c>
      <c r="C26" s="22" t="n">
        <v>59</v>
      </c>
      <c r="D26" s="25" t="s">
        <v>556</v>
      </c>
    </row>
    <row r="27" customFormat="false" ht="27.75" hidden="false" customHeight="true" outlineLevel="0" collapsed="false">
      <c r="A27" s="14" t="s">
        <v>557</v>
      </c>
      <c r="B27" s="22" t="n">
        <v>11</v>
      </c>
      <c r="C27" s="22" t="n">
        <v>98</v>
      </c>
      <c r="D27" s="25" t="s">
        <v>558</v>
      </c>
    </row>
    <row r="28" customFormat="false" ht="27.75" hidden="false" customHeight="true" outlineLevel="0" collapsed="false">
      <c r="A28" s="14" t="s">
        <v>559</v>
      </c>
      <c r="B28" s="22" t="n">
        <v>25</v>
      </c>
      <c r="C28" s="22" t="n">
        <v>116</v>
      </c>
      <c r="D28" s="25" t="s">
        <v>560</v>
      </c>
    </row>
    <row r="29" customFormat="false" ht="27.75" hidden="false" customHeight="true" outlineLevel="0" collapsed="false">
      <c r="A29" s="14" t="s">
        <v>561</v>
      </c>
      <c r="B29" s="22" t="n">
        <v>25</v>
      </c>
      <c r="C29" s="22" t="n">
        <v>208</v>
      </c>
      <c r="D29" s="25" t="s">
        <v>562</v>
      </c>
    </row>
    <row r="30" customFormat="false" ht="27.75" hidden="false" customHeight="true" outlineLevel="0" collapsed="false">
      <c r="A30" s="14" t="s">
        <v>563</v>
      </c>
      <c r="B30" s="22" t="n">
        <v>27</v>
      </c>
      <c r="C30" s="22" t="n">
        <v>206</v>
      </c>
      <c r="D30" s="25" t="s">
        <v>564</v>
      </c>
    </row>
    <row r="31" customFormat="false" ht="27.75" hidden="false" customHeight="true" outlineLevel="0" collapsed="false">
      <c r="A31" s="14" t="s">
        <v>565</v>
      </c>
      <c r="B31" s="22" t="n">
        <v>24</v>
      </c>
      <c r="C31" s="22" t="n">
        <v>120</v>
      </c>
      <c r="D31" s="25" t="s">
        <v>566</v>
      </c>
    </row>
    <row r="32" customFormat="false" ht="27.75" hidden="false" customHeight="true" outlineLevel="0" collapsed="false">
      <c r="A32" s="14" t="s">
        <v>567</v>
      </c>
      <c r="B32" s="22" t="n">
        <v>9</v>
      </c>
      <c r="C32" s="22" t="n">
        <v>116</v>
      </c>
      <c r="D32" s="25" t="s">
        <v>568</v>
      </c>
    </row>
    <row r="33" customFormat="false" ht="27.75" hidden="false" customHeight="true" outlineLevel="0" collapsed="false">
      <c r="A33" s="14" t="s">
        <v>569</v>
      </c>
      <c r="B33" s="22" t="n">
        <v>17</v>
      </c>
      <c r="C33" s="22" t="n">
        <v>144</v>
      </c>
      <c r="D33" s="25" t="s">
        <v>570</v>
      </c>
    </row>
    <row r="34" customFormat="false" ht="27.75" hidden="false" customHeight="true" outlineLevel="0" collapsed="false">
      <c r="A34" s="14" t="s">
        <v>571</v>
      </c>
      <c r="B34" s="22" t="n">
        <v>18</v>
      </c>
      <c r="C34" s="22" t="n">
        <v>265</v>
      </c>
      <c r="D34" s="25" t="s">
        <v>572</v>
      </c>
    </row>
    <row r="35" customFormat="false" ht="27.75" hidden="false" customHeight="true" outlineLevel="0" collapsed="false">
      <c r="A35" s="14" t="s">
        <v>573</v>
      </c>
      <c r="B35" s="22" t="n">
        <v>5</v>
      </c>
      <c r="C35" s="22" t="n">
        <v>138</v>
      </c>
      <c r="D35" s="25" t="s">
        <v>574</v>
      </c>
    </row>
    <row r="37" customFormat="false" ht="48" hidden="false" customHeight="true" outlineLevel="0" collapsed="false">
      <c r="A37" s="21" t="s">
        <v>575</v>
      </c>
      <c r="B37" s="21"/>
      <c r="C37" s="21"/>
      <c r="D37" s="21"/>
    </row>
  </sheetData>
  <mergeCells count="5">
    <mergeCell ref="A1:D1"/>
    <mergeCell ref="A3:D3"/>
    <mergeCell ref="A5:D5"/>
    <mergeCell ref="A20:D20"/>
    <mergeCell ref="A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4" min="3" style="0" width="11"/>
    <col collapsed="false" customWidth="true" hidden="false" outlineLevel="0" max="6" min="5" style="0" width="10"/>
    <col collapsed="false" customWidth="true" hidden="false" outlineLevel="0" max="7" min="7" style="0" width="11"/>
    <col collapsed="false" customWidth="true" hidden="false" outlineLevel="0" max="9" min="8" style="0" width="10"/>
    <col collapsed="false" customWidth="true" hidden="false" outlineLevel="0" max="10" min="10" style="0" width="9"/>
    <col collapsed="false" customWidth="true" hidden="false" outlineLevel="0" max="11" min="11" style="0" width="12"/>
    <col collapsed="false" customWidth="true" hidden="false" outlineLevel="0" max="12" min="12" style="0" width="11"/>
    <col collapsed="false" customWidth="true" hidden="false" outlineLevel="0" max="13" min="13" style="0" width="14"/>
    <col collapsed="false" customWidth="true" hidden="false" outlineLevel="0" max="14" min="14" style="0" width="62"/>
  </cols>
  <sheetData>
    <row r="1" customFormat="false" ht="24" hidden="false" customHeight="true" outlineLevel="0" collapsed="false">
      <c r="A1" s="1" t="s">
        <v>576</v>
      </c>
      <c r="B1" s="1"/>
      <c r="C1" s="1"/>
      <c r="D1" s="1"/>
      <c r="E1" s="1"/>
      <c r="F1" s="1"/>
      <c r="G1" s="1"/>
      <c r="H1" s="1"/>
      <c r="I1" s="1"/>
      <c r="J1" s="1"/>
      <c r="K1" s="1"/>
      <c r="L1" s="1"/>
      <c r="M1" s="1"/>
      <c r="N1" s="1"/>
    </row>
    <row r="3" customFormat="false" ht="39.75" hidden="false" customHeight="true" outlineLevel="0" collapsed="false">
      <c r="A3" s="21" t="s">
        <v>577</v>
      </c>
      <c r="B3" s="21"/>
      <c r="C3" s="21"/>
      <c r="D3" s="21"/>
      <c r="E3" s="21"/>
      <c r="F3" s="21"/>
      <c r="G3" s="21"/>
      <c r="H3" s="21"/>
      <c r="I3" s="21"/>
      <c r="J3" s="21"/>
      <c r="K3" s="21"/>
      <c r="L3" s="21"/>
      <c r="M3" s="21"/>
      <c r="N3" s="21"/>
    </row>
    <row r="5" customFormat="false" ht="30" hidden="false" customHeight="true" outlineLevel="0" collapsed="false">
      <c r="A5" s="13" t="s">
        <v>578</v>
      </c>
      <c r="B5" s="13" t="s">
        <v>579</v>
      </c>
      <c r="C5" s="13" t="s">
        <v>580</v>
      </c>
      <c r="D5" s="13" t="s">
        <v>581</v>
      </c>
      <c r="E5" s="13" t="s">
        <v>582</v>
      </c>
      <c r="F5" s="13" t="s">
        <v>583</v>
      </c>
      <c r="G5" s="13" t="s">
        <v>584</v>
      </c>
      <c r="H5" s="13" t="s">
        <v>585</v>
      </c>
      <c r="I5" s="13" t="s">
        <v>586</v>
      </c>
      <c r="J5" s="13" t="s">
        <v>587</v>
      </c>
      <c r="K5" s="13" t="s">
        <v>588</v>
      </c>
      <c r="L5" s="13" t="s">
        <v>589</v>
      </c>
      <c r="M5" s="13" t="s">
        <v>590</v>
      </c>
      <c r="N5" s="13" t="s">
        <v>591</v>
      </c>
    </row>
    <row r="6" customFormat="false" ht="39.75" hidden="false" customHeight="true" outlineLevel="0" collapsed="false">
      <c r="A6" s="20" t="n">
        <v>1</v>
      </c>
      <c r="B6" s="51"/>
      <c r="C6" s="52"/>
      <c r="D6" s="52"/>
      <c r="E6" s="51"/>
      <c r="F6" s="51"/>
      <c r="G6" s="51"/>
      <c r="H6" s="51"/>
      <c r="I6" s="51"/>
      <c r="J6" s="52"/>
      <c r="K6" s="44" t="n">
        <f aca="false">Nutrition!$B$5-(1*Nutrition!$B$41)</f>
        <v>78.5909090909091</v>
      </c>
      <c r="L6" s="53" t="str">
        <f aca="false">IF(C6="","",C6-K6)</f>
        <v/>
      </c>
      <c r="M6" s="20" t="str">
        <f aca="false">IF(C6="","—",IF(L6&lt;=0.3,"On track",IF(L6&lt;=0.8,"Slightly behind","Behind")))</f>
        <v>—</v>
      </c>
      <c r="N6" s="25" t="str">
        <f aca="false">IF(C6="","Log this week to get feedback",IF(H6&lt;Nutrition!$B$18*0.85,"PROTEIN SHORT. Below 85% of target. In a deficit this is the fastest way to lose muscle instead of fat — you get smaller, not leaner, and the abs never show. Fix this before anything else.",IF(E6&lt;4,"SESSIONS SHORT. Under 4 lifting days means a muscle dropped to once-a-week frequency. Strength regain stalls and the deficit starts eating muscle. One missed week is fine; two in a row is a pattern.",IF(G6&gt;Nutrition!$B$17*1.12,"CALORIES OVER by more than 12%. Fat loss stops here regardless of how hard you train. Check the weekend — that is almost always where it goes.",IF(J6&lt;6.5,"SLEEP SHORT. Under 6.5 hours raises cortisol, blunts recovery, and measurably increases appetite the next day. This is upstream of the stress eating, not separate from it.",IF(I6&lt;7000,"STEPS LOW. Under 7,000 a day means the desk job is winning. Non-exercise movement burns more than your gym sessions do — a 20 minute walk at lunch closes most of this gap.",IF(L6&gt;0.8,"BEHIND PACE. Everything logged looks fine, so the likely culprit is untracked calories — cooking oil, drinks, weekend portions. Weigh your food for one honest week before changing anything else.",IF(AND(D6&lt;&gt;"",D6&gt;=D5,1&gt;2),"WAIST NOT MOVING even though weight is. Usually water retention from a salty weekend. Give it another week before touching anything.","On track. Nothing to fix — keep doing exactly this."))))))))</f>
        <v>Log this week to get feedback</v>
      </c>
    </row>
    <row r="7" customFormat="false" ht="39.75" hidden="false" customHeight="true" outlineLevel="0" collapsed="false">
      <c r="A7" s="20" t="n">
        <v>2</v>
      </c>
      <c r="B7" s="51"/>
      <c r="C7" s="52"/>
      <c r="D7" s="52"/>
      <c r="E7" s="51"/>
      <c r="F7" s="51"/>
      <c r="G7" s="51"/>
      <c r="H7" s="51"/>
      <c r="I7" s="51"/>
      <c r="J7" s="52"/>
      <c r="K7" s="44" t="n">
        <f aca="false">Nutrition!$B$5-(2*Nutrition!$B$41)</f>
        <v>78.1818181818182</v>
      </c>
      <c r="L7" s="53" t="str">
        <f aca="false">IF(C7="","",C7-K7)</f>
        <v/>
      </c>
      <c r="M7" s="20" t="str">
        <f aca="false">IF(C7="","—",IF(L7&lt;=0.3,"On track",IF(L7&lt;=0.8,"Slightly behind","Behind")))</f>
        <v>—</v>
      </c>
      <c r="N7" s="25" t="str">
        <f aca="false">IF(C7="","Log this week to get feedback",IF(H7&lt;Nutrition!$B$18*0.85,"PROTEIN SHORT. Below 85% of target. In a deficit this is the fastest way to lose muscle instead of fat — you get smaller, not leaner, and the abs never show. Fix this before anything else.",IF(E7&lt;4,"SESSIONS SHORT. Under 4 lifting days means a muscle dropped to once-a-week frequency. Strength regain stalls and the deficit starts eating muscle. One missed week is fine; two in a row is a pattern.",IF(G7&gt;Nutrition!$B$17*1.12,"CALORIES OVER by more than 12%. Fat loss stops here regardless of how hard you train. Check the weekend — that is almost always where it goes.",IF(J7&lt;6.5,"SLEEP SHORT. Under 6.5 hours raises cortisol, blunts recovery, and measurably increases appetite the next day. This is upstream of the stress eating, not separate from it.",IF(I7&lt;7000,"STEPS LOW. Under 7,000 a day means the desk job is winning. Non-exercise movement burns more than your gym sessions do — a 20 minute walk at lunch closes most of this gap.",IF(L7&gt;0.8,"BEHIND PACE. Everything logged looks fine, so the likely culprit is untracked calories — cooking oil, drinks, weekend portions. Weigh your food for one honest week before changing anything else.",IF(AND(D7&lt;&gt;"",D7&gt;=D6,2&gt;2),"WAIST NOT MOVING even though weight is. Usually water retention from a salty weekend. Give it another week before touching anything.","On track. Nothing to fix — keep doing exactly this."))))))))</f>
        <v>Log this week to get feedback</v>
      </c>
    </row>
    <row r="8" customFormat="false" ht="39.75" hidden="false" customHeight="true" outlineLevel="0" collapsed="false">
      <c r="A8" s="20" t="n">
        <v>3</v>
      </c>
      <c r="B8" s="51"/>
      <c r="C8" s="52"/>
      <c r="D8" s="52"/>
      <c r="E8" s="51"/>
      <c r="F8" s="51"/>
      <c r="G8" s="51"/>
      <c r="H8" s="51"/>
      <c r="I8" s="51"/>
      <c r="J8" s="52"/>
      <c r="K8" s="44" t="n">
        <f aca="false">Nutrition!$B$5-(3*Nutrition!$B$41)</f>
        <v>77.7727272727273</v>
      </c>
      <c r="L8" s="53" t="str">
        <f aca="false">IF(C8="","",C8-K8)</f>
        <v/>
      </c>
      <c r="M8" s="20" t="str">
        <f aca="false">IF(C8="","—",IF(L8&lt;=0.3,"On track",IF(L8&lt;=0.8,"Slightly behind","Behind")))</f>
        <v>—</v>
      </c>
      <c r="N8" s="25" t="str">
        <f aca="false">IF(C8="","Log this week to get feedback",IF(H8&lt;Nutrition!$B$18*0.85,"PROTEIN SHORT. Below 85% of target. In a deficit this is the fastest way to lose muscle instead of fat — you get smaller, not leaner, and the abs never show. Fix this before anything else.",IF(E8&lt;4,"SESSIONS SHORT. Under 4 lifting days means a muscle dropped to once-a-week frequency. Strength regain stalls and the deficit starts eating muscle. One missed week is fine; two in a row is a pattern.",IF(G8&gt;Nutrition!$B$17*1.12,"CALORIES OVER by more than 12%. Fat loss stops here regardless of how hard you train. Check the weekend — that is almost always where it goes.",IF(J8&lt;6.5,"SLEEP SHORT. Under 6.5 hours raises cortisol, blunts recovery, and measurably increases appetite the next day. This is upstream of the stress eating, not separate from it.",IF(I8&lt;7000,"STEPS LOW. Under 7,000 a day means the desk job is winning. Non-exercise movement burns more than your gym sessions do — a 20 minute walk at lunch closes most of this gap.",IF(L8&gt;0.8,"BEHIND PACE. Everything logged looks fine, so the likely culprit is untracked calories — cooking oil, drinks, weekend portions. Weigh your food for one honest week before changing anything else.",IF(AND(D8&lt;&gt;"",D8&gt;=D7,3&gt;2),"WAIST NOT MOVING even though weight is. Usually water retention from a salty weekend. Give it another week before touching anything.","On track. Nothing to fix — keep doing exactly this."))))))))</f>
        <v>Log this week to get feedback</v>
      </c>
    </row>
    <row r="9" customFormat="false" ht="39.75" hidden="false" customHeight="true" outlineLevel="0" collapsed="false">
      <c r="A9" s="20" t="n">
        <v>4</v>
      </c>
      <c r="B9" s="51"/>
      <c r="C9" s="52"/>
      <c r="D9" s="52"/>
      <c r="E9" s="51"/>
      <c r="F9" s="51"/>
      <c r="G9" s="51"/>
      <c r="H9" s="51"/>
      <c r="I9" s="51"/>
      <c r="J9" s="52"/>
      <c r="K9" s="44" t="n">
        <f aca="false">Nutrition!$B$5-(4*Nutrition!$B$41)</f>
        <v>77.3636363636364</v>
      </c>
      <c r="L9" s="53" t="str">
        <f aca="false">IF(C9="","",C9-K9)</f>
        <v/>
      </c>
      <c r="M9" s="20" t="str">
        <f aca="false">IF(C9="","—",IF(L9&lt;=0.3,"On track",IF(L9&lt;=0.8,"Slightly behind","Behind")))</f>
        <v>—</v>
      </c>
      <c r="N9" s="25" t="str">
        <f aca="false">IF(C9="","Log this week to get feedback",IF(H9&lt;Nutrition!$B$18*0.85,"PROTEIN SHORT. Below 85% of target. In a deficit this is the fastest way to lose muscle instead of fat — you get smaller, not leaner, and the abs never show. Fix this before anything else.",IF(E9&lt;4,"SESSIONS SHORT. Under 4 lifting days means a muscle dropped to once-a-week frequency. Strength regain stalls and the deficit starts eating muscle. One missed week is fine; two in a row is a pattern.",IF(G9&gt;Nutrition!$B$17*1.12,"CALORIES OVER by more than 12%. Fat loss stops here regardless of how hard you train. Check the weekend — that is almost always where it goes.",IF(J9&lt;6.5,"SLEEP SHORT. Under 6.5 hours raises cortisol, blunts recovery, and measurably increases appetite the next day. This is upstream of the stress eating, not separate from it.",IF(I9&lt;7000,"STEPS LOW. Under 7,000 a day means the desk job is winning. Non-exercise movement burns more than your gym sessions do — a 20 minute walk at lunch closes most of this gap.",IF(L9&gt;0.8,"BEHIND PACE. Everything logged looks fine, so the likely culprit is untracked calories — cooking oil, drinks, weekend portions. Weigh your food for one honest week before changing anything else.",IF(AND(D9&lt;&gt;"",D9&gt;=D8,4&gt;2),"WAIST NOT MOVING even though weight is. Usually water retention from a salty weekend. Give it another week before touching anything.","On track. Nothing to fix — keep doing exactly this."))))))))</f>
        <v>Log this week to get feedback</v>
      </c>
    </row>
    <row r="10" customFormat="false" ht="39.75" hidden="false" customHeight="true" outlineLevel="0" collapsed="false">
      <c r="A10" s="20" t="n">
        <v>5</v>
      </c>
      <c r="B10" s="51"/>
      <c r="C10" s="52"/>
      <c r="D10" s="52"/>
      <c r="E10" s="51"/>
      <c r="F10" s="51"/>
      <c r="G10" s="51"/>
      <c r="H10" s="51"/>
      <c r="I10" s="51"/>
      <c r="J10" s="52"/>
      <c r="K10" s="44" t="n">
        <f aca="false">Nutrition!$B$5-(5*Nutrition!$B$41)</f>
        <v>76.9545454545455</v>
      </c>
      <c r="L10" s="53" t="str">
        <f aca="false">IF(C10="","",C10-K10)</f>
        <v/>
      </c>
      <c r="M10" s="20" t="str">
        <f aca="false">IF(C10="","—",IF(L10&lt;=0.3,"On track",IF(L10&lt;=0.8,"Slightly behind","Behind")))</f>
        <v>—</v>
      </c>
      <c r="N10" s="25" t="str">
        <f aca="false">IF(C10="","Log this week to get feedback",IF(H10&lt;Nutrition!$B$18*0.85,"PROTEIN SHORT. Below 85% of target. In a deficit this is the fastest way to lose muscle instead of fat — you get smaller, not leaner, and the abs never show. Fix this before anything else.",IF(E10&lt;4,"SESSIONS SHORT. Under 4 lifting days means a muscle dropped to once-a-week frequency. Strength regain stalls and the deficit starts eating muscle. One missed week is fine; two in a row is a pattern.",IF(G10&gt;Nutrition!$B$17*1.12,"CALORIES OVER by more than 12%. Fat loss stops here regardless of how hard you train. Check the weekend — that is almost always where it goes.",IF(J10&lt;6.5,"SLEEP SHORT. Under 6.5 hours raises cortisol, blunts recovery, and measurably increases appetite the next day. This is upstream of the stress eating, not separate from it.",IF(I10&lt;7000,"STEPS LOW. Under 7,000 a day means the desk job is winning. Non-exercise movement burns more than your gym sessions do — a 20 minute walk at lunch closes most of this gap.",IF(L10&gt;0.8,"BEHIND PACE. Everything logged looks fine, so the likely culprit is untracked calories — cooking oil, drinks, weekend portions. Weigh your food for one honest week before changing anything else.",IF(AND(D10&lt;&gt;"",D10&gt;=D9,5&gt;2),"WAIST NOT MOVING even though weight is. Usually water retention from a salty weekend. Give it another week before touching anything.","On track. Nothing to fix — keep doing exactly this."))))))))</f>
        <v>Log this week to get feedback</v>
      </c>
    </row>
    <row r="11" customFormat="false" ht="39.75" hidden="false" customHeight="true" outlineLevel="0" collapsed="false">
      <c r="A11" s="20" t="n">
        <v>6</v>
      </c>
      <c r="B11" s="51"/>
      <c r="C11" s="52"/>
      <c r="D11" s="52"/>
      <c r="E11" s="51"/>
      <c r="F11" s="51"/>
      <c r="G11" s="51"/>
      <c r="H11" s="51"/>
      <c r="I11" s="51"/>
      <c r="J11" s="52"/>
      <c r="K11" s="44" t="n">
        <f aca="false">Nutrition!$B$5-(6*Nutrition!$B$41)</f>
        <v>76.5454545454546</v>
      </c>
      <c r="L11" s="53" t="str">
        <f aca="false">IF(C11="","",C11-K11)</f>
        <v/>
      </c>
      <c r="M11" s="20" t="str">
        <f aca="false">IF(C11="","—",IF(L11&lt;=0.3,"On track",IF(L11&lt;=0.8,"Slightly behind","Behind")))</f>
        <v>—</v>
      </c>
      <c r="N11" s="25" t="str">
        <f aca="false">IF(C11="","Log this week to get feedback",IF(H11&lt;Nutrition!$B$18*0.85,"PROTEIN SHORT. Below 85% of target. In a deficit this is the fastest way to lose muscle instead of fat — you get smaller, not leaner, and the abs never show. Fix this before anything else.",IF(E11&lt;4,"SESSIONS SHORT. Under 4 lifting days means a muscle dropped to once-a-week frequency. Strength regain stalls and the deficit starts eating muscle. One missed week is fine; two in a row is a pattern.",IF(G11&gt;Nutrition!$B$17*1.12,"CALORIES OVER by more than 12%. Fat loss stops here regardless of how hard you train. Check the weekend — that is almost always where it goes.",IF(J11&lt;6.5,"SLEEP SHORT. Under 6.5 hours raises cortisol, blunts recovery, and measurably increases appetite the next day. This is upstream of the stress eating, not separate from it.",IF(I11&lt;7000,"STEPS LOW. Under 7,000 a day means the desk job is winning. Non-exercise movement burns more than your gym sessions do — a 20 minute walk at lunch closes most of this gap.",IF(L11&gt;0.8,"BEHIND PACE. Everything logged looks fine, so the likely culprit is untracked calories — cooking oil, drinks, weekend portions. Weigh your food for one honest week before changing anything else.",IF(AND(D11&lt;&gt;"",D11&gt;=D10,6&gt;2),"WAIST NOT MOVING even though weight is. Usually water retention from a salty weekend. Give it another week before touching anything.","On track. Nothing to fix — keep doing exactly this."))))))))</f>
        <v>Log this week to get feedback</v>
      </c>
    </row>
    <row r="12" customFormat="false" ht="39.75" hidden="false" customHeight="true" outlineLevel="0" collapsed="false">
      <c r="A12" s="20" t="n">
        <v>7</v>
      </c>
      <c r="B12" s="51"/>
      <c r="C12" s="52"/>
      <c r="D12" s="52"/>
      <c r="E12" s="51"/>
      <c r="F12" s="51"/>
      <c r="G12" s="51"/>
      <c r="H12" s="51"/>
      <c r="I12" s="51"/>
      <c r="J12" s="52"/>
      <c r="K12" s="44" t="n">
        <f aca="false">Nutrition!$B$5-(7*Nutrition!$B$41)</f>
        <v>76.1363636363636</v>
      </c>
      <c r="L12" s="53" t="str">
        <f aca="false">IF(C12="","",C12-K12)</f>
        <v/>
      </c>
      <c r="M12" s="20" t="str">
        <f aca="false">IF(C12="","—",IF(L12&lt;=0.3,"On track",IF(L12&lt;=0.8,"Slightly behind","Behind")))</f>
        <v>—</v>
      </c>
      <c r="N12" s="25" t="str">
        <f aca="false">IF(C12="","Log this week to get feedback",IF(H12&lt;Nutrition!$B$18*0.85,"PROTEIN SHORT. Below 85% of target. In a deficit this is the fastest way to lose muscle instead of fat — you get smaller, not leaner, and the abs never show. Fix this before anything else.",IF(E12&lt;4,"SESSIONS SHORT. Under 4 lifting days means a muscle dropped to once-a-week frequency. Strength regain stalls and the deficit starts eating muscle. One missed week is fine; two in a row is a pattern.",IF(G12&gt;Nutrition!$B$17*1.12,"CALORIES OVER by more than 12%. Fat loss stops here regardless of how hard you train. Check the weekend — that is almost always where it goes.",IF(J12&lt;6.5,"SLEEP SHORT. Under 6.5 hours raises cortisol, blunts recovery, and measurably increases appetite the next day. This is upstream of the stress eating, not separate from it.",IF(I12&lt;7000,"STEPS LOW. Under 7,000 a day means the desk job is winning. Non-exercise movement burns more than your gym sessions do — a 20 minute walk at lunch closes most of this gap.",IF(L12&gt;0.8,"BEHIND PACE. Everything logged looks fine, so the likely culprit is untracked calories — cooking oil, drinks, weekend portions. Weigh your food for one honest week before changing anything else.",IF(AND(D12&lt;&gt;"",D12&gt;=D11,7&gt;2),"WAIST NOT MOVING even though weight is. Usually water retention from a salty weekend. Give it another week before touching anything.","On track. Nothing to fix — keep doing exactly this."))))))))</f>
        <v>Log this week to get feedback</v>
      </c>
    </row>
    <row r="13" customFormat="false" ht="39.75" hidden="false" customHeight="true" outlineLevel="0" collapsed="false">
      <c r="A13" s="20" t="n">
        <v>8</v>
      </c>
      <c r="B13" s="51"/>
      <c r="C13" s="52"/>
      <c r="D13" s="52"/>
      <c r="E13" s="51"/>
      <c r="F13" s="51"/>
      <c r="G13" s="51"/>
      <c r="H13" s="51"/>
      <c r="I13" s="51"/>
      <c r="J13" s="52"/>
      <c r="K13" s="44" t="n">
        <f aca="false">Nutrition!$B$5-(8*Nutrition!$B$41)</f>
        <v>75.7272727272727</v>
      </c>
      <c r="L13" s="53" t="str">
        <f aca="false">IF(C13="","",C13-K13)</f>
        <v/>
      </c>
      <c r="M13" s="20" t="str">
        <f aca="false">IF(C13="","—",IF(L13&lt;=0.3,"On track",IF(L13&lt;=0.8,"Slightly behind","Behind")))</f>
        <v>—</v>
      </c>
      <c r="N13" s="25" t="str">
        <f aca="false">IF(C13="","Log this week to get feedback",IF(H13&lt;Nutrition!$B$18*0.85,"PROTEIN SHORT. Below 85% of target. In a deficit this is the fastest way to lose muscle instead of fat — you get smaller, not leaner, and the abs never show. Fix this before anything else.",IF(E13&lt;4,"SESSIONS SHORT. Under 4 lifting days means a muscle dropped to once-a-week frequency. Strength regain stalls and the deficit starts eating muscle. One missed week is fine; two in a row is a pattern.",IF(G13&gt;Nutrition!$B$17*1.12,"CALORIES OVER by more than 12%. Fat loss stops here regardless of how hard you train. Check the weekend — that is almost always where it goes.",IF(J13&lt;6.5,"SLEEP SHORT. Under 6.5 hours raises cortisol, blunts recovery, and measurably increases appetite the next day. This is upstream of the stress eating, not separate from it.",IF(I13&lt;7000,"STEPS LOW. Under 7,000 a day means the desk job is winning. Non-exercise movement burns more than your gym sessions do — a 20 minute walk at lunch closes most of this gap.",IF(L13&gt;0.8,"BEHIND PACE. Everything logged looks fine, so the likely culprit is untracked calories — cooking oil, drinks, weekend portions. Weigh your food for one honest week before changing anything else.",IF(AND(D13&lt;&gt;"",D13&gt;=D12,8&gt;2),"WAIST NOT MOVING even though weight is. Usually water retention from a salty weekend. Give it another week before touching anything.","On track. Nothing to fix — keep doing exactly this."))))))))</f>
        <v>Log this week to get feedback</v>
      </c>
    </row>
    <row r="14" customFormat="false" ht="39.75" hidden="false" customHeight="true" outlineLevel="0" collapsed="false">
      <c r="A14" s="20" t="n">
        <v>9</v>
      </c>
      <c r="B14" s="51"/>
      <c r="C14" s="52"/>
      <c r="D14" s="52"/>
      <c r="E14" s="51"/>
      <c r="F14" s="51"/>
      <c r="G14" s="51"/>
      <c r="H14" s="51"/>
      <c r="I14" s="51"/>
      <c r="J14" s="52"/>
      <c r="K14" s="44" t="n">
        <f aca="false">Nutrition!$B$5-(9*Nutrition!$B$41)</f>
        <v>75.3181818181818</v>
      </c>
      <c r="L14" s="53" t="str">
        <f aca="false">IF(C14="","",C14-K14)</f>
        <v/>
      </c>
      <c r="M14" s="20" t="str">
        <f aca="false">IF(C14="","—",IF(L14&lt;=0.3,"On track",IF(L14&lt;=0.8,"Slightly behind","Behind")))</f>
        <v>—</v>
      </c>
      <c r="N14" s="25" t="str">
        <f aca="false">IF(C14="","Log this week to get feedback",IF(H14&lt;Nutrition!$B$18*0.85,"PROTEIN SHORT. Below 85% of target. In a deficit this is the fastest way to lose muscle instead of fat — you get smaller, not leaner, and the abs never show. Fix this before anything else.",IF(E14&lt;4,"SESSIONS SHORT. Under 4 lifting days means a muscle dropped to once-a-week frequency. Strength regain stalls and the deficit starts eating muscle. One missed week is fine; two in a row is a pattern.",IF(G14&gt;Nutrition!$B$17*1.12,"CALORIES OVER by more than 12%. Fat loss stops here regardless of how hard you train. Check the weekend — that is almost always where it goes.",IF(J14&lt;6.5,"SLEEP SHORT. Under 6.5 hours raises cortisol, blunts recovery, and measurably increases appetite the next day. This is upstream of the stress eating, not separate from it.",IF(I14&lt;7000,"STEPS LOW. Under 7,000 a day means the desk job is winning. Non-exercise movement burns more than your gym sessions do — a 20 minute walk at lunch closes most of this gap.",IF(L14&gt;0.8,"BEHIND PACE. Everything logged looks fine, so the likely culprit is untracked calories — cooking oil, drinks, weekend portions. Weigh your food for one honest week before changing anything else.",IF(AND(D14&lt;&gt;"",D14&gt;=D13,9&gt;2),"WAIST NOT MOVING even though weight is. Usually water retention from a salty weekend. Give it another week before touching anything.","On track. Nothing to fix — keep doing exactly this."))))))))</f>
        <v>Log this week to get feedback</v>
      </c>
    </row>
    <row r="15" customFormat="false" ht="39.75" hidden="false" customHeight="true" outlineLevel="0" collapsed="false">
      <c r="A15" s="20" t="n">
        <v>10</v>
      </c>
      <c r="B15" s="51"/>
      <c r="C15" s="52"/>
      <c r="D15" s="52"/>
      <c r="E15" s="51"/>
      <c r="F15" s="51"/>
      <c r="G15" s="51"/>
      <c r="H15" s="51"/>
      <c r="I15" s="51"/>
      <c r="J15" s="52"/>
      <c r="K15" s="44" t="n">
        <f aca="false">Nutrition!$B$5-(10*Nutrition!$B$41)</f>
        <v>74.9090909090909</v>
      </c>
      <c r="L15" s="53" t="str">
        <f aca="false">IF(C15="","",C15-K15)</f>
        <v/>
      </c>
      <c r="M15" s="20" t="str">
        <f aca="false">IF(C15="","—",IF(L15&lt;=0.3,"On track",IF(L15&lt;=0.8,"Slightly behind","Behind")))</f>
        <v>—</v>
      </c>
      <c r="N15" s="25" t="str">
        <f aca="false">IF(C15="","Log this week to get feedback",IF(H15&lt;Nutrition!$B$18*0.85,"PROTEIN SHORT. Below 85% of target. In a deficit this is the fastest way to lose muscle instead of fat — you get smaller, not leaner, and the abs never show. Fix this before anything else.",IF(E15&lt;4,"SESSIONS SHORT. Under 4 lifting days means a muscle dropped to once-a-week frequency. Strength regain stalls and the deficit starts eating muscle. One missed week is fine; two in a row is a pattern.",IF(G15&gt;Nutrition!$B$17*1.12,"CALORIES OVER by more than 12%. Fat loss stops here regardless of how hard you train. Check the weekend — that is almost always where it goes.",IF(J15&lt;6.5,"SLEEP SHORT. Under 6.5 hours raises cortisol, blunts recovery, and measurably increases appetite the next day. This is upstream of the stress eating, not separate from it.",IF(I15&lt;7000,"STEPS LOW. Under 7,000 a day means the desk job is winning. Non-exercise movement burns more than your gym sessions do — a 20 minute walk at lunch closes most of this gap.",IF(L15&gt;0.8,"BEHIND PACE. Everything logged looks fine, so the likely culprit is untracked calories — cooking oil, drinks, weekend portions. Weigh your food for one honest week before changing anything else.",IF(AND(D15&lt;&gt;"",D15&gt;=D14,10&gt;2),"WAIST NOT MOVING even though weight is. Usually water retention from a salty weekend. Give it another week before touching anything.","On track. Nothing to fix — keep doing exactly this."))))))))</f>
        <v>Log this week to get feedback</v>
      </c>
    </row>
    <row r="16" customFormat="false" ht="39.75" hidden="false" customHeight="true" outlineLevel="0" collapsed="false">
      <c r="A16" s="20" t="n">
        <v>11</v>
      </c>
      <c r="B16" s="51"/>
      <c r="C16" s="52"/>
      <c r="D16" s="52"/>
      <c r="E16" s="51"/>
      <c r="F16" s="51"/>
      <c r="G16" s="51"/>
      <c r="H16" s="51"/>
      <c r="I16" s="51"/>
      <c r="J16" s="52"/>
      <c r="K16" s="44" t="n">
        <f aca="false">Nutrition!$B$5-(11*Nutrition!$B$41)</f>
        <v>74.5</v>
      </c>
      <c r="L16" s="53" t="str">
        <f aca="false">IF(C16="","",C16-K16)</f>
        <v/>
      </c>
      <c r="M16" s="20" t="str">
        <f aca="false">IF(C16="","—",IF(L16&lt;=0.3,"On track",IF(L16&lt;=0.8,"Slightly behind","Behind")))</f>
        <v>—</v>
      </c>
      <c r="N16" s="25" t="str">
        <f aca="false">IF(C16="","Log this week to get feedback",IF(H16&lt;Nutrition!$B$18*0.85,"PROTEIN SHORT. Below 85% of target. In a deficit this is the fastest way to lose muscle instead of fat — you get smaller, not leaner, and the abs never show. Fix this before anything else.",IF(E16&lt;4,"SESSIONS SHORT. Under 4 lifting days means a muscle dropped to once-a-week frequency. Strength regain stalls and the deficit starts eating muscle. One missed week is fine; two in a row is a pattern.",IF(G16&gt;Nutrition!$B$17*1.12,"CALORIES OVER by more than 12%. Fat loss stops here regardless of how hard you train. Check the weekend — that is almost always where it goes.",IF(J16&lt;6.5,"SLEEP SHORT. Under 6.5 hours raises cortisol, blunts recovery, and measurably increases appetite the next day. This is upstream of the stress eating, not separate from it.",IF(I16&lt;7000,"STEPS LOW. Under 7,000 a day means the desk job is winning. Non-exercise movement burns more than your gym sessions do — a 20 minute walk at lunch closes most of this gap.",IF(L16&gt;0.8,"BEHIND PACE. Everything logged looks fine, so the likely culprit is untracked calories — cooking oil, drinks, weekend portions. Weigh your food for one honest week before changing anything else.",IF(AND(D16&lt;&gt;"",D16&gt;=D15,11&gt;2),"WAIST NOT MOVING even though weight is. Usually water retention from a salty weekend. Give it another week before touching anything.","On track. Nothing to fix — keep doing exactly this."))))))))</f>
        <v>Log this week to get feedback</v>
      </c>
    </row>
    <row r="17" customFormat="false" ht="39.75" hidden="false" customHeight="true" outlineLevel="0" collapsed="false">
      <c r="A17" s="20" t="n">
        <v>12</v>
      </c>
      <c r="B17" s="51"/>
      <c r="C17" s="52"/>
      <c r="D17" s="52"/>
      <c r="E17" s="51"/>
      <c r="F17" s="51"/>
      <c r="G17" s="51"/>
      <c r="H17" s="51"/>
      <c r="I17" s="51"/>
      <c r="J17" s="52"/>
      <c r="K17" s="44" t="n">
        <f aca="false">Nutrition!$B$5-(12*Nutrition!$B$41)</f>
        <v>74.0909090909091</v>
      </c>
      <c r="L17" s="53" t="str">
        <f aca="false">IF(C17="","",C17-K17)</f>
        <v/>
      </c>
      <c r="M17" s="20" t="str">
        <f aca="false">IF(C17="","—",IF(L17&lt;=0.3,"On track",IF(L17&lt;=0.8,"Slightly behind","Behind")))</f>
        <v>—</v>
      </c>
      <c r="N17" s="25" t="str">
        <f aca="false">IF(C17="","Log this week to get feedback",IF(H17&lt;Nutrition!$B$18*0.85,"PROTEIN SHORT. Below 85% of target. In a deficit this is the fastest way to lose muscle instead of fat — you get smaller, not leaner, and the abs never show. Fix this before anything else.",IF(E17&lt;4,"SESSIONS SHORT. Under 4 lifting days means a muscle dropped to once-a-week frequency. Strength regain stalls and the deficit starts eating muscle. One missed week is fine; two in a row is a pattern.",IF(G17&gt;Nutrition!$B$17*1.12,"CALORIES OVER by more than 12%. Fat loss stops here regardless of how hard you train. Check the weekend — that is almost always where it goes.",IF(J17&lt;6.5,"SLEEP SHORT. Under 6.5 hours raises cortisol, blunts recovery, and measurably increases appetite the next day. This is upstream of the stress eating, not separate from it.",IF(I17&lt;7000,"STEPS LOW. Under 7,000 a day means the desk job is winning. Non-exercise movement burns more than your gym sessions do — a 20 minute walk at lunch closes most of this gap.",IF(L17&gt;0.8,"BEHIND PACE. Everything logged looks fine, so the likely culprit is untracked calories — cooking oil, drinks, weekend portions. Weigh your food for one honest week before changing anything else.",IF(AND(D17&lt;&gt;"",D17&gt;=D16,12&gt;2),"WAIST NOT MOVING even though weight is. Usually water retention from a salty weekend. Give it another week before touching anything.","On track. Nothing to fix — keep doing exactly this."))))))))</f>
        <v>Log this week to get feedback</v>
      </c>
    </row>
    <row r="19" customFormat="false" ht="21.75" hidden="false" customHeight="true" outlineLevel="0" collapsed="false">
      <c r="A19" s="54" t="s">
        <v>592</v>
      </c>
      <c r="B19" s="55" t="s">
        <v>593</v>
      </c>
      <c r="C19" s="56" t="n">
        <v>78.4</v>
      </c>
      <c r="D19" s="56" t="n">
        <v>89</v>
      </c>
      <c r="E19" s="55" t="n">
        <v>4</v>
      </c>
      <c r="F19" s="55" t="n">
        <v>2</v>
      </c>
      <c r="G19" s="55" t="n">
        <v>2150</v>
      </c>
      <c r="H19" s="55" t="n">
        <v>158</v>
      </c>
      <c r="I19" s="55" t="n">
        <v>8200</v>
      </c>
      <c r="J19" s="55" t="n">
        <v>7.2</v>
      </c>
      <c r="K19" s="21" t="s">
        <v>594</v>
      </c>
      <c r="L19" s="21"/>
      <c r="M19" s="21"/>
      <c r="N19" s="21"/>
    </row>
    <row r="21" customFormat="false" ht="18" hidden="false" customHeight="true" outlineLevel="0" collapsed="false">
      <c r="A21" s="2" t="s">
        <v>595</v>
      </c>
      <c r="B21" s="2"/>
      <c r="C21" s="2"/>
      <c r="D21" s="2"/>
      <c r="E21" s="2"/>
      <c r="F21" s="2"/>
      <c r="G21" s="2"/>
      <c r="H21" s="2"/>
      <c r="I21" s="2"/>
      <c r="J21" s="2"/>
      <c r="K21" s="2"/>
      <c r="L21" s="2"/>
      <c r="M21" s="2"/>
      <c r="N21" s="2"/>
    </row>
    <row r="22" customFormat="false" ht="31.5" hidden="false" customHeight="true" outlineLevel="0" collapsed="false">
      <c r="A22" s="14" t="s">
        <v>596</v>
      </c>
      <c r="B22" s="14"/>
      <c r="C22" s="57" t="s">
        <v>597</v>
      </c>
      <c r="D22" s="57"/>
      <c r="E22" s="57"/>
      <c r="F22" s="57"/>
      <c r="G22" s="57"/>
      <c r="H22" s="57"/>
      <c r="I22" s="57"/>
      <c r="J22" s="57"/>
      <c r="K22" s="57"/>
      <c r="L22" s="57"/>
      <c r="M22" s="57"/>
      <c r="N22" s="57"/>
    </row>
    <row r="23" customFormat="false" ht="31.5" hidden="false" customHeight="true" outlineLevel="0" collapsed="false">
      <c r="A23" s="14" t="s">
        <v>598</v>
      </c>
      <c r="B23" s="14"/>
      <c r="C23" s="57" t="s">
        <v>599</v>
      </c>
      <c r="D23" s="57"/>
      <c r="E23" s="57"/>
      <c r="F23" s="57"/>
      <c r="G23" s="57"/>
      <c r="H23" s="57"/>
      <c r="I23" s="57"/>
      <c r="J23" s="57"/>
      <c r="K23" s="57"/>
      <c r="L23" s="57"/>
      <c r="M23" s="57"/>
      <c r="N23" s="57"/>
    </row>
    <row r="24" customFormat="false" ht="31.5" hidden="false" customHeight="true" outlineLevel="0" collapsed="false">
      <c r="A24" s="14" t="s">
        <v>582</v>
      </c>
      <c r="B24" s="14"/>
      <c r="C24" s="57" t="s">
        <v>600</v>
      </c>
      <c r="D24" s="57"/>
      <c r="E24" s="57"/>
      <c r="F24" s="57"/>
      <c r="G24" s="57"/>
      <c r="H24" s="57"/>
      <c r="I24" s="57"/>
      <c r="J24" s="57"/>
      <c r="K24" s="57"/>
      <c r="L24" s="57"/>
      <c r="M24" s="57"/>
      <c r="N24" s="57"/>
    </row>
    <row r="25" customFormat="false" ht="31.5" hidden="false" customHeight="true" outlineLevel="0" collapsed="false">
      <c r="A25" s="14" t="s">
        <v>583</v>
      </c>
      <c r="B25" s="14"/>
      <c r="C25" s="57" t="s">
        <v>601</v>
      </c>
      <c r="D25" s="57"/>
      <c r="E25" s="57"/>
      <c r="F25" s="57"/>
      <c r="G25" s="57"/>
      <c r="H25" s="57"/>
      <c r="I25" s="57"/>
      <c r="J25" s="57"/>
      <c r="K25" s="57"/>
      <c r="L25" s="57"/>
      <c r="M25" s="57"/>
      <c r="N25" s="57"/>
    </row>
    <row r="26" customFormat="false" ht="31.5" hidden="false" customHeight="true" outlineLevel="0" collapsed="false">
      <c r="A26" s="14" t="s">
        <v>584</v>
      </c>
      <c r="B26" s="14"/>
      <c r="C26" s="57" t="s">
        <v>602</v>
      </c>
      <c r="D26" s="57"/>
      <c r="E26" s="57"/>
      <c r="F26" s="57"/>
      <c r="G26" s="57"/>
      <c r="H26" s="57"/>
      <c r="I26" s="57"/>
      <c r="J26" s="57"/>
      <c r="K26" s="57"/>
      <c r="L26" s="57"/>
      <c r="M26" s="57"/>
      <c r="N26" s="57"/>
    </row>
    <row r="27" customFormat="false" ht="31.5" hidden="false" customHeight="true" outlineLevel="0" collapsed="false">
      <c r="A27" s="14" t="s">
        <v>603</v>
      </c>
      <c r="B27" s="14"/>
      <c r="C27" s="57" t="s">
        <v>604</v>
      </c>
      <c r="D27" s="57"/>
      <c r="E27" s="57"/>
      <c r="F27" s="57"/>
      <c r="G27" s="57"/>
      <c r="H27" s="57"/>
      <c r="I27" s="57"/>
      <c r="J27" s="57"/>
      <c r="K27" s="57"/>
      <c r="L27" s="57"/>
      <c r="M27" s="57"/>
      <c r="N27" s="57"/>
    </row>
    <row r="28" customFormat="false" ht="31.5" hidden="false" customHeight="true" outlineLevel="0" collapsed="false">
      <c r="A28" s="14" t="s">
        <v>586</v>
      </c>
      <c r="B28" s="14"/>
      <c r="C28" s="57" t="s">
        <v>605</v>
      </c>
      <c r="D28" s="57"/>
      <c r="E28" s="57"/>
      <c r="F28" s="57"/>
      <c r="G28" s="57"/>
      <c r="H28" s="57"/>
      <c r="I28" s="57"/>
      <c r="J28" s="57"/>
      <c r="K28" s="57"/>
      <c r="L28" s="57"/>
      <c r="M28" s="57"/>
      <c r="N28" s="57"/>
    </row>
    <row r="29" customFormat="false" ht="31.5" hidden="false" customHeight="true" outlineLevel="0" collapsed="false">
      <c r="A29" s="14" t="s">
        <v>606</v>
      </c>
      <c r="B29" s="14"/>
      <c r="C29" s="57" t="s">
        <v>607</v>
      </c>
      <c r="D29" s="57"/>
      <c r="E29" s="57"/>
      <c r="F29" s="57"/>
      <c r="G29" s="57"/>
      <c r="H29" s="57"/>
      <c r="I29" s="57"/>
      <c r="J29" s="57"/>
      <c r="K29" s="57"/>
      <c r="L29" s="57"/>
      <c r="M29" s="57"/>
      <c r="N29" s="57"/>
    </row>
  </sheetData>
  <mergeCells count="20">
    <mergeCell ref="A1:N1"/>
    <mergeCell ref="A3:N3"/>
    <mergeCell ref="K19:N19"/>
    <mergeCell ref="A21:N21"/>
    <mergeCell ref="A22:B22"/>
    <mergeCell ref="C22:N22"/>
    <mergeCell ref="A23:B23"/>
    <mergeCell ref="C23:N23"/>
    <mergeCell ref="A24:B24"/>
    <mergeCell ref="C24:N24"/>
    <mergeCell ref="A25:B25"/>
    <mergeCell ref="C25:N25"/>
    <mergeCell ref="A26:B26"/>
    <mergeCell ref="C26:N26"/>
    <mergeCell ref="A27:B27"/>
    <mergeCell ref="C27:N27"/>
    <mergeCell ref="A28:B28"/>
    <mergeCell ref="C28:N28"/>
    <mergeCell ref="A29:B29"/>
    <mergeCell ref="C29:N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4" min="3" style="0" width="46"/>
  </cols>
  <sheetData>
    <row r="1" customFormat="false" ht="24" hidden="false" customHeight="true" outlineLevel="0" collapsed="false">
      <c r="A1" s="1" t="s">
        <v>608</v>
      </c>
      <c r="B1" s="1"/>
      <c r="C1" s="1"/>
      <c r="D1" s="1"/>
    </row>
    <row r="3" customFormat="false" ht="36" hidden="false" customHeight="true" outlineLevel="0" collapsed="false">
      <c r="A3" s="21" t="s">
        <v>609</v>
      </c>
      <c r="B3" s="21"/>
      <c r="C3" s="21"/>
      <c r="D3" s="21"/>
    </row>
    <row r="5" customFormat="false" ht="18" hidden="false" customHeight="true" outlineLevel="0" collapsed="false">
      <c r="A5" s="2" t="s">
        <v>610</v>
      </c>
      <c r="B5" s="2"/>
      <c r="C5" s="2"/>
      <c r="D5" s="2"/>
    </row>
    <row r="6" customFormat="false" ht="30" hidden="false" customHeight="true" outlineLevel="0" collapsed="false">
      <c r="A6" s="13" t="s">
        <v>611</v>
      </c>
      <c r="B6" s="13" t="s">
        <v>612</v>
      </c>
      <c r="C6" s="13" t="s">
        <v>613</v>
      </c>
      <c r="D6" s="13" t="s">
        <v>614</v>
      </c>
    </row>
    <row r="7" customFormat="false" ht="78" hidden="false" customHeight="true" outlineLevel="0" collapsed="false">
      <c r="A7" s="58" t="s">
        <v>615</v>
      </c>
      <c r="B7" s="4" t="s">
        <v>616</v>
      </c>
      <c r="C7" s="25" t="s">
        <v>617</v>
      </c>
      <c r="D7" s="59" t="s">
        <v>618</v>
      </c>
    </row>
    <row r="8" customFormat="false" ht="78" hidden="false" customHeight="true" outlineLevel="0" collapsed="false">
      <c r="A8" s="58" t="s">
        <v>619</v>
      </c>
      <c r="B8" s="4" t="s">
        <v>620</v>
      </c>
      <c r="C8" s="25" t="s">
        <v>621</v>
      </c>
      <c r="D8" s="59" t="s">
        <v>622</v>
      </c>
    </row>
    <row r="9" customFormat="false" ht="78" hidden="false" customHeight="true" outlineLevel="0" collapsed="false">
      <c r="A9" s="58" t="s">
        <v>623</v>
      </c>
      <c r="B9" s="4" t="s">
        <v>624</v>
      </c>
      <c r="C9" s="25" t="s">
        <v>625</v>
      </c>
      <c r="D9" s="59" t="s">
        <v>626</v>
      </c>
    </row>
    <row r="10" customFormat="false" ht="78" hidden="false" customHeight="true" outlineLevel="0" collapsed="false">
      <c r="A10" s="58" t="s">
        <v>627</v>
      </c>
      <c r="B10" s="4" t="s">
        <v>628</v>
      </c>
      <c r="C10" s="25" t="s">
        <v>629</v>
      </c>
      <c r="D10" s="59" t="s">
        <v>630</v>
      </c>
    </row>
    <row r="11" customFormat="false" ht="78" hidden="false" customHeight="true" outlineLevel="0" collapsed="false">
      <c r="A11" s="58" t="s">
        <v>631</v>
      </c>
      <c r="B11" s="4" t="s">
        <v>632</v>
      </c>
      <c r="C11" s="25" t="s">
        <v>633</v>
      </c>
      <c r="D11" s="59" t="s">
        <v>634</v>
      </c>
    </row>
    <row r="12" customFormat="false" ht="78" hidden="false" customHeight="true" outlineLevel="0" collapsed="false">
      <c r="A12" s="58" t="s">
        <v>635</v>
      </c>
      <c r="B12" s="4" t="s">
        <v>636</v>
      </c>
      <c r="C12" s="25" t="s">
        <v>637</v>
      </c>
      <c r="D12" s="59" t="s">
        <v>638</v>
      </c>
    </row>
    <row r="14" customFormat="false" ht="18" hidden="false" customHeight="true" outlineLevel="0" collapsed="false">
      <c r="A14" s="60" t="s">
        <v>639</v>
      </c>
      <c r="B14" s="60"/>
      <c r="C14" s="60"/>
      <c r="D14" s="60"/>
    </row>
    <row r="15" customFormat="false" ht="30" hidden="false" customHeight="true" outlineLevel="0" collapsed="false">
      <c r="A15" s="13" t="s">
        <v>640</v>
      </c>
      <c r="B15" s="13" t="s">
        <v>641</v>
      </c>
      <c r="C15" s="13" t="s">
        <v>642</v>
      </c>
      <c r="D15" s="13" t="s">
        <v>643</v>
      </c>
    </row>
    <row r="16" customFormat="false" ht="72" hidden="false" customHeight="true" outlineLevel="0" collapsed="false">
      <c r="A16" s="61" t="s">
        <v>644</v>
      </c>
      <c r="B16" s="25" t="s">
        <v>645</v>
      </c>
      <c r="C16" s="62" t="s">
        <v>646</v>
      </c>
      <c r="D16" s="25" t="s">
        <v>647</v>
      </c>
    </row>
    <row r="17" customFormat="false" ht="72" hidden="false" customHeight="true" outlineLevel="0" collapsed="false">
      <c r="A17" s="61" t="s">
        <v>648</v>
      </c>
      <c r="B17" s="25" t="s">
        <v>649</v>
      </c>
      <c r="C17" s="62" t="s">
        <v>650</v>
      </c>
      <c r="D17" s="25" t="s">
        <v>651</v>
      </c>
    </row>
    <row r="18" customFormat="false" ht="72" hidden="false" customHeight="true" outlineLevel="0" collapsed="false">
      <c r="A18" s="61" t="s">
        <v>652</v>
      </c>
      <c r="B18" s="25" t="s">
        <v>653</v>
      </c>
      <c r="C18" s="62" t="s">
        <v>654</v>
      </c>
      <c r="D18" s="25" t="s">
        <v>655</v>
      </c>
    </row>
    <row r="19" customFormat="false" ht="72" hidden="false" customHeight="true" outlineLevel="0" collapsed="false">
      <c r="A19" s="61" t="s">
        <v>656</v>
      </c>
      <c r="B19" s="25" t="s">
        <v>657</v>
      </c>
      <c r="C19" s="62" t="s">
        <v>658</v>
      </c>
      <c r="D19" s="25" t="s">
        <v>659</v>
      </c>
    </row>
    <row r="20" customFormat="false" ht="72" hidden="false" customHeight="true" outlineLevel="0" collapsed="false">
      <c r="A20" s="61" t="s">
        <v>660</v>
      </c>
      <c r="B20" s="25" t="s">
        <v>661</v>
      </c>
      <c r="C20" s="62" t="s">
        <v>662</v>
      </c>
      <c r="D20" s="25" t="s">
        <v>663</v>
      </c>
    </row>
    <row r="21" customFormat="false" ht="72" hidden="false" customHeight="true" outlineLevel="0" collapsed="false">
      <c r="A21" s="61" t="s">
        <v>664</v>
      </c>
      <c r="B21" s="25" t="s">
        <v>665</v>
      </c>
      <c r="C21" s="62" t="s">
        <v>666</v>
      </c>
      <c r="D21" s="25" t="s">
        <v>667</v>
      </c>
    </row>
    <row r="22" customFormat="false" ht="72" hidden="false" customHeight="true" outlineLevel="0" collapsed="false">
      <c r="A22" s="61" t="s">
        <v>668</v>
      </c>
      <c r="B22" s="25" t="s">
        <v>669</v>
      </c>
      <c r="C22" s="62" t="s">
        <v>670</v>
      </c>
      <c r="D22" s="25" t="s">
        <v>671</v>
      </c>
    </row>
    <row r="23" customFormat="false" ht="72" hidden="false" customHeight="true" outlineLevel="0" collapsed="false">
      <c r="A23" s="61" t="s">
        <v>672</v>
      </c>
      <c r="B23" s="25" t="s">
        <v>673</v>
      </c>
      <c r="C23" s="62" t="s">
        <v>674</v>
      </c>
      <c r="D23" s="25" t="s">
        <v>675</v>
      </c>
    </row>
    <row r="25" customFormat="false" ht="18" hidden="false" customHeight="true" outlineLevel="0" collapsed="false">
      <c r="A25" s="2" t="s">
        <v>676</v>
      </c>
      <c r="B25" s="2"/>
      <c r="C25" s="2"/>
      <c r="D25" s="2"/>
    </row>
    <row r="26" customFormat="false" ht="150" hidden="false" customHeight="true" outlineLevel="0" collapsed="false">
      <c r="A26" s="12" t="s">
        <v>677</v>
      </c>
      <c r="B26" s="12"/>
      <c r="C26" s="12"/>
      <c r="D26" s="12"/>
    </row>
  </sheetData>
  <mergeCells count="6">
    <mergeCell ref="A1:D1"/>
    <mergeCell ref="A3:D3"/>
    <mergeCell ref="A5:D5"/>
    <mergeCell ref="A14:D14"/>
    <mergeCell ref="A25:D25"/>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2026-08-27T14:48:44Z</dcterms:created>
  <dc:creator>openpyxl</dc:creator>
  <dc:description/>
  <dc:language>en-US</dc:language>
  <cp:lastModifiedBy/>
  <dcterms:modified xsi:type="dcterms:W3CDTF">2026-08-27T14:52:07Z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